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ali\Downloads\"/>
    </mc:Choice>
  </mc:AlternateContent>
  <xr:revisionPtr revIDLastSave="0" documentId="8_{93DC4AF3-91FB-4C4C-939A-DC27669CF1C9}" xr6:coauthVersionLast="47" xr6:coauthVersionMax="47" xr10:uidLastSave="{00000000-0000-0000-0000-000000000000}"/>
  <bookViews>
    <workbookView xWindow="-120" yWindow="-120" windowWidth="20730" windowHeight="11160" activeTab="6" xr2:uid="{ACDDF710-ACB3-43A8-82BA-D55456A0D366}"/>
  </bookViews>
  <sheets>
    <sheet name="Faculty" sheetId="1" r:id="rId1"/>
    <sheet name="Department" sheetId="2" r:id="rId2"/>
    <sheet name="Instructors" sheetId="3" r:id="rId3"/>
    <sheet name="Students" sheetId="4" r:id="rId4"/>
    <sheet name="Course" sheetId="5" r:id="rId5"/>
    <sheet name="Enrollment" sheetId="6" r:id="rId6"/>
    <sheet name="Payment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5" i="5" l="1"/>
  <c r="A46" i="5"/>
  <c r="A47" i="5"/>
  <c r="A48" i="5"/>
  <c r="A49" i="5"/>
  <c r="A50" i="5"/>
  <c r="A51" i="5"/>
  <c r="A52" i="5"/>
  <c r="A53" i="5"/>
  <c r="A54" i="5"/>
  <c r="A55" i="5"/>
  <c r="A44" i="5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3" i="6"/>
  <c r="G45" i="5"/>
  <c r="G47" i="5"/>
  <c r="B48" i="5"/>
  <c r="C15" i="6"/>
  <c r="C13" i="6"/>
  <c r="B44" i="5"/>
  <c r="B45" i="5"/>
  <c r="B46" i="5"/>
  <c r="B47" i="5"/>
  <c r="B49" i="5"/>
  <c r="B50" i="5"/>
  <c r="B51" i="5"/>
  <c r="B52" i="5"/>
  <c r="B53" i="5"/>
  <c r="B54" i="5"/>
  <c r="B55" i="5"/>
  <c r="B43" i="5"/>
  <c r="G48" i="5"/>
  <c r="G50" i="5"/>
  <c r="G46" i="5"/>
  <c r="G55" i="5"/>
  <c r="G54" i="5"/>
  <c r="G53" i="5"/>
  <c r="G52" i="5"/>
  <c r="G51" i="5"/>
  <c r="G49" i="5"/>
  <c r="G44" i="5" a="1"/>
  <c r="G44" i="5"/>
  <c r="G43" i="5" a="1"/>
  <c r="G43" i="5" s="1"/>
  <c r="C18" i="6"/>
  <c r="C17" i="6"/>
  <c r="C16" i="6"/>
  <c r="C14" i="6"/>
  <c r="C12" i="6"/>
  <c r="C11" i="6"/>
  <c r="C10" i="6"/>
  <c r="C9" i="6"/>
  <c r="C8" i="6"/>
  <c r="C7" i="6"/>
  <c r="C6" i="6"/>
  <c r="C5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C4" i="6"/>
  <c r="C3" i="6"/>
  <c r="M5" i="4"/>
  <c r="E12" i="7"/>
  <c r="E11" i="7"/>
  <c r="D4" i="7"/>
  <c r="F18" i="7"/>
  <c r="E18" i="7"/>
  <c r="D18" i="7"/>
  <c r="C18" i="7"/>
  <c r="F17" i="7"/>
  <c r="E17" i="7"/>
  <c r="D17" i="7"/>
  <c r="C17" i="7"/>
  <c r="F16" i="7"/>
  <c r="E16" i="7"/>
  <c r="D16" i="7"/>
  <c r="C16" i="7"/>
  <c r="F15" i="7"/>
  <c r="E15" i="7"/>
  <c r="D15" i="7"/>
  <c r="C15" i="7"/>
  <c r="F14" i="7"/>
  <c r="E14" i="7"/>
  <c r="D14" i="7"/>
  <c r="C14" i="7"/>
  <c r="F13" i="7"/>
  <c r="E13" i="7"/>
  <c r="D13" i="7"/>
  <c r="C13" i="7"/>
  <c r="F12" i="7"/>
  <c r="D12" i="7"/>
  <c r="C12" i="7"/>
  <c r="F11" i="7"/>
  <c r="D11" i="7"/>
  <c r="C11" i="7"/>
  <c r="F10" i="7"/>
  <c r="E10" i="7"/>
  <c r="D10" i="7"/>
  <c r="C10" i="7"/>
  <c r="F9" i="7"/>
  <c r="E9" i="7"/>
  <c r="D9" i="7"/>
  <c r="C9" i="7"/>
  <c r="F8" i="7"/>
  <c r="E8" i="7"/>
  <c r="D8" i="7"/>
  <c r="C8" i="7"/>
  <c r="F7" i="7"/>
  <c r="E7" i="7"/>
  <c r="D7" i="7"/>
  <c r="C7" i="7"/>
  <c r="F6" i="7"/>
  <c r="E6" i="7"/>
  <c r="D6" i="7"/>
  <c r="C6" i="7"/>
  <c r="F5" i="7"/>
  <c r="E5" i="7"/>
  <c r="D5" i="7"/>
  <c r="C5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F4" i="7"/>
  <c r="E4" i="7"/>
  <c r="C4" i="7"/>
  <c r="A4" i="7"/>
  <c r="F3" i="7"/>
  <c r="E3" i="7"/>
  <c r="D3" i="7"/>
  <c r="C3" i="7"/>
  <c r="L10" i="4"/>
  <c r="M6" i="4"/>
  <c r="E5" i="5"/>
  <c r="D4" i="5"/>
  <c r="D5" i="5"/>
  <c r="D6" i="5"/>
  <c r="D7" i="5"/>
  <c r="D8" i="5"/>
  <c r="D9" i="5"/>
  <c r="D10" i="5"/>
  <c r="D3" i="5"/>
  <c r="E4" i="5"/>
  <c r="E6" i="5"/>
  <c r="E7" i="5"/>
  <c r="E8" i="5"/>
  <c r="E9" i="5"/>
  <c r="E10" i="5"/>
  <c r="E3" i="5"/>
  <c r="H10" i="5"/>
  <c r="H9" i="5"/>
  <c r="H8" i="5"/>
  <c r="H7" i="5"/>
  <c r="H6" i="5"/>
  <c r="H5" i="5"/>
  <c r="H4" i="5"/>
  <c r="H3" i="5"/>
  <c r="B4" i="3"/>
  <c r="B5" i="3"/>
  <c r="B6" i="3"/>
  <c r="B7" i="3"/>
  <c r="B8" i="3"/>
  <c r="B9" i="3"/>
  <c r="B10" i="3"/>
  <c r="B11" i="3"/>
  <c r="B12" i="3"/>
  <c r="B13" i="3"/>
  <c r="B14" i="3"/>
  <c r="P20" i="4"/>
  <c r="M20" i="4"/>
  <c r="L20" i="4"/>
  <c r="H20" i="4"/>
  <c r="I20" i="4" s="1"/>
  <c r="G20" i="4"/>
  <c r="P19" i="4"/>
  <c r="M19" i="4"/>
  <c r="L19" i="4"/>
  <c r="H19" i="4"/>
  <c r="I19" i="4" s="1"/>
  <c r="G19" i="4"/>
  <c r="P18" i="4"/>
  <c r="M18" i="4"/>
  <c r="L18" i="4"/>
  <c r="H18" i="4"/>
  <c r="I18" i="4" s="1"/>
  <c r="G18" i="4"/>
  <c r="P17" i="4"/>
  <c r="M17" i="4"/>
  <c r="L17" i="4"/>
  <c r="H17" i="4"/>
  <c r="I17" i="4"/>
  <c r="G17" i="4"/>
  <c r="P16" i="4"/>
  <c r="M16" i="4"/>
  <c r="L16" i="4"/>
  <c r="H16" i="4"/>
  <c r="I16" i="4" s="1"/>
  <c r="G16" i="4"/>
  <c r="P15" i="4"/>
  <c r="M15" i="4"/>
  <c r="L15" i="4"/>
  <c r="H15" i="4"/>
  <c r="I15" i="4" s="1"/>
  <c r="G15" i="4"/>
  <c r="P14" i="4"/>
  <c r="M14" i="4"/>
  <c r="L14" i="4"/>
  <c r="H14" i="4"/>
  <c r="I14" i="4" s="1"/>
  <c r="G14" i="4"/>
  <c r="P13" i="4"/>
  <c r="M13" i="4"/>
  <c r="L13" i="4"/>
  <c r="H13" i="4"/>
  <c r="I13" i="4" s="1"/>
  <c r="G13" i="4"/>
  <c r="P12" i="4"/>
  <c r="M12" i="4"/>
  <c r="L12" i="4"/>
  <c r="H12" i="4"/>
  <c r="I12" i="4" s="1"/>
  <c r="G12" i="4"/>
  <c r="P11" i="4"/>
  <c r="M11" i="4"/>
  <c r="L11" i="4"/>
  <c r="H11" i="4"/>
  <c r="I11" i="4" s="1"/>
  <c r="G11" i="4"/>
  <c r="P10" i="4"/>
  <c r="M10" i="4"/>
  <c r="H10" i="4"/>
  <c r="I10" i="4" s="1"/>
  <c r="G10" i="4"/>
  <c r="P9" i="4"/>
  <c r="M9" i="4"/>
  <c r="L9" i="4"/>
  <c r="H9" i="4"/>
  <c r="I9" i="4" s="1"/>
  <c r="G9" i="4"/>
  <c r="P8" i="4"/>
  <c r="M8" i="4"/>
  <c r="L8" i="4"/>
  <c r="H8" i="4"/>
  <c r="I8" i="4" s="1"/>
  <c r="G8" i="4"/>
  <c r="P7" i="4"/>
  <c r="M7" i="4"/>
  <c r="L7" i="4"/>
  <c r="H7" i="4"/>
  <c r="I7" i="4" s="1"/>
  <c r="G7" i="4"/>
  <c r="P6" i="4"/>
  <c r="L6" i="4"/>
  <c r="H6" i="4"/>
  <c r="I6" i="4" s="1"/>
  <c r="G6" i="4"/>
  <c r="P5" i="4"/>
  <c r="L5" i="4"/>
  <c r="H5" i="4"/>
  <c r="I5" i="4" s="1"/>
  <c r="G5" i="4"/>
  <c r="C7" i="1"/>
  <c r="C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<sst xmlns="http://schemas.openxmlformats.org/spreadsheetml/2006/main" count="507" uniqueCount="313">
  <si>
    <t>SCRS RECORDS</t>
  </si>
  <si>
    <t>FACULTY</t>
  </si>
  <si>
    <t>faculty_id</t>
  </si>
  <si>
    <t>faculty_name</t>
  </si>
  <si>
    <t>dean</t>
  </si>
  <si>
    <t>location</t>
  </si>
  <si>
    <t>department_id</t>
  </si>
  <si>
    <t>department_name</t>
  </si>
  <si>
    <t>head_of_department</t>
  </si>
  <si>
    <t>STUDENT</t>
  </si>
  <si>
    <t>student_id</t>
  </si>
  <si>
    <t>first_name</t>
  </si>
  <si>
    <t>last_name</t>
  </si>
  <si>
    <t>email</t>
  </si>
  <si>
    <t>phone_number</t>
  </si>
  <si>
    <t>date_of_birth</t>
  </si>
  <si>
    <t>id_number_or_passport</t>
  </si>
  <si>
    <t>programme</t>
  </si>
  <si>
    <t>year_of_study</t>
  </si>
  <si>
    <t>financial_hold</t>
  </si>
  <si>
    <t>registration_date</t>
  </si>
  <si>
    <t>aod_signed</t>
  </si>
  <si>
    <t>INSTRUCTOR</t>
  </si>
  <si>
    <t>instructor_id</t>
  </si>
  <si>
    <t>office</t>
  </si>
  <si>
    <t>COURSE</t>
  </si>
  <si>
    <t>course_id</t>
  </si>
  <si>
    <t>course_name</t>
  </si>
  <si>
    <t>credits</t>
  </si>
  <si>
    <t>max_ecrollment</t>
  </si>
  <si>
    <t>current_enrollment</t>
  </si>
  <si>
    <t>semester</t>
  </si>
  <si>
    <t>aps_required</t>
  </si>
  <si>
    <t>Venue</t>
  </si>
  <si>
    <t>venue_id</t>
  </si>
  <si>
    <t>building</t>
  </si>
  <si>
    <t>room</t>
  </si>
  <si>
    <t>capcity</t>
  </si>
  <si>
    <t>module_id</t>
  </si>
  <si>
    <t>module_name</t>
  </si>
  <si>
    <t>module_level</t>
  </si>
  <si>
    <t>SCHEDULE</t>
  </si>
  <si>
    <t>schedule_id</t>
  </si>
  <si>
    <t>day_of_the_week</t>
  </si>
  <si>
    <t>start_time</t>
  </si>
  <si>
    <t>end_time</t>
  </si>
  <si>
    <t>ENROLLMENT</t>
  </si>
  <si>
    <t>year</t>
  </si>
  <si>
    <t>enrollment_id</t>
  </si>
  <si>
    <t>grade</t>
  </si>
  <si>
    <t>status</t>
  </si>
  <si>
    <t>WAITLIST</t>
  </si>
  <si>
    <t>waitlist_date</t>
  </si>
  <si>
    <t>position</t>
  </si>
  <si>
    <t>notification</t>
  </si>
  <si>
    <t>PREREQUISITE</t>
  </si>
  <si>
    <t>prerequisite</t>
  </si>
  <si>
    <t>PAYMENT</t>
  </si>
  <si>
    <t>payment_id</t>
  </si>
  <si>
    <t>amount</t>
  </si>
  <si>
    <t>paymemt_date</t>
  </si>
  <si>
    <t>payment_status</t>
  </si>
  <si>
    <t>REGISTRATION HOLD</t>
  </si>
  <si>
    <t>hold_id</t>
  </si>
  <si>
    <t>hold_type</t>
  </si>
  <si>
    <t>resolved_date</t>
  </si>
  <si>
    <t>Humanities</t>
  </si>
  <si>
    <t>Building A4</t>
  </si>
  <si>
    <t>Prof.F van der Westhuizen</t>
  </si>
  <si>
    <t>Prof.D. Moyo</t>
  </si>
  <si>
    <t>Prof.M. Sibanda</t>
  </si>
  <si>
    <t>Mathematics</t>
  </si>
  <si>
    <t>Accounting</t>
  </si>
  <si>
    <t>Prof.M.Esiefarienrhe</t>
  </si>
  <si>
    <t>Dr.L.Pha;i</t>
  </si>
  <si>
    <t>Prof.PN. Nkamta</t>
  </si>
  <si>
    <t>Dr.C. Mahlaule</t>
  </si>
  <si>
    <t>KEYS</t>
  </si>
  <si>
    <t>PRIMARY KEYS</t>
  </si>
  <si>
    <t>FOREIGN KEYS</t>
  </si>
  <si>
    <t>Francis</t>
  </si>
  <si>
    <t>Sarah</t>
  </si>
  <si>
    <t>Ellen</t>
  </si>
  <si>
    <t>Peters</t>
  </si>
  <si>
    <t>Thabo</t>
  </si>
  <si>
    <t>Khumalo</t>
  </si>
  <si>
    <t>Jansen</t>
  </si>
  <si>
    <t>3851001@mynwu.ac.za</t>
  </si>
  <si>
    <t>3851002@,ynwu.ac.za</t>
  </si>
  <si>
    <t>3851003@mynwu.ac.za</t>
  </si>
  <si>
    <t>Mark</t>
  </si>
  <si>
    <t>David</t>
  </si>
  <si>
    <t>Stevens</t>
  </si>
  <si>
    <t>3851004@mynwu.ac.za</t>
  </si>
  <si>
    <t>3851005@mynwu.c.za</t>
  </si>
  <si>
    <t>Calculus I</t>
  </si>
  <si>
    <t>Artifitial Intelligence</t>
  </si>
  <si>
    <t xml:space="preserve">Database s Systems </t>
  </si>
  <si>
    <t>Tebello</t>
  </si>
  <si>
    <t>Qekesi</t>
  </si>
  <si>
    <t>Kgaphola</t>
  </si>
  <si>
    <t>Mbali</t>
  </si>
  <si>
    <t>Chauke</t>
  </si>
  <si>
    <t>44839197@mynwu.ac.za</t>
  </si>
  <si>
    <t>45154597@mynwu.ac.za</t>
  </si>
  <si>
    <t>45229090@mynwu.ac.za</t>
  </si>
  <si>
    <t>52442179@mynwu.ac.za</t>
  </si>
  <si>
    <t>46499458@mynwu.ac.za</t>
  </si>
  <si>
    <t>43771920@mynwu.ac.za</t>
  </si>
  <si>
    <t>43056717@mynwu.ac.za</t>
  </si>
  <si>
    <t>40939170@mynwu.ac.za</t>
  </si>
  <si>
    <t>Khulani</t>
  </si>
  <si>
    <t>Maphosa</t>
  </si>
  <si>
    <t>Craigh</t>
  </si>
  <si>
    <t>Mbungele</t>
  </si>
  <si>
    <t>Paballo</t>
  </si>
  <si>
    <t>Bogacwi</t>
  </si>
  <si>
    <t>Siyabonga</t>
  </si>
  <si>
    <t>Nkosi</t>
  </si>
  <si>
    <t>Dakalo</t>
  </si>
  <si>
    <t>Malingana</t>
  </si>
  <si>
    <t>Lerato</t>
  </si>
  <si>
    <t>Amina</t>
  </si>
  <si>
    <t>Michael</t>
  </si>
  <si>
    <t>Kabelo</t>
  </si>
  <si>
    <t>Brandon</t>
  </si>
  <si>
    <t>Molefe</t>
  </si>
  <si>
    <t>Venter</t>
  </si>
  <si>
    <t>Brown</t>
  </si>
  <si>
    <t>Dlamini</t>
  </si>
  <si>
    <t>Mokoena</t>
  </si>
  <si>
    <t>Zulu</t>
  </si>
  <si>
    <t>Mtshali</t>
  </si>
  <si>
    <t>Smith</t>
  </si>
  <si>
    <t>38221045@mynwu.ac.za</t>
  </si>
  <si>
    <t>39112001@mynwu.ac.za</t>
  </si>
  <si>
    <t>41123756@mynwu.ac.za</t>
  </si>
  <si>
    <t>48425677@mynwu.ac.za</t>
  </si>
  <si>
    <t>37425974@mynwu.ac.za</t>
  </si>
  <si>
    <t>44869874@mynwu.ac.za</t>
  </si>
  <si>
    <t>39456919@mynwu.ac.za</t>
  </si>
  <si>
    <t>40045601@mynwu.ac.za</t>
  </si>
  <si>
    <t>Bcom Acc</t>
  </si>
  <si>
    <t>Bsc Mathematics</t>
  </si>
  <si>
    <t>BSc IT</t>
  </si>
  <si>
    <t>IT</t>
  </si>
  <si>
    <t>Prof. E.Taylor</t>
  </si>
  <si>
    <t>CMPG311</t>
  </si>
  <si>
    <t>MTHS111</t>
  </si>
  <si>
    <t>CMPG313</t>
  </si>
  <si>
    <t>ACCR111</t>
  </si>
  <si>
    <t>TAXA211</t>
  </si>
  <si>
    <t>STAT111</t>
  </si>
  <si>
    <t xml:space="preserve">Taxtion </t>
  </si>
  <si>
    <t xml:space="preserve">Statistics </t>
  </si>
  <si>
    <t>Calculus II</t>
  </si>
  <si>
    <t>BMAN111</t>
  </si>
  <si>
    <t>MTHS121</t>
  </si>
  <si>
    <t>CMPG211</t>
  </si>
  <si>
    <t>Intoduction to Business Management</t>
  </si>
  <si>
    <t>Data Structures</t>
  </si>
  <si>
    <t>credits_required</t>
  </si>
  <si>
    <t>Lynette</t>
  </si>
  <si>
    <t>Bassey</t>
  </si>
  <si>
    <t>Petrus</t>
  </si>
  <si>
    <t>Gerhard</t>
  </si>
  <si>
    <t>Tiny</t>
  </si>
  <si>
    <t>du Toit</t>
  </si>
  <si>
    <t>Isong</t>
  </si>
  <si>
    <t>Swanepoel</t>
  </si>
  <si>
    <t>Smit</t>
  </si>
  <si>
    <t>Drevin</t>
  </si>
  <si>
    <t>3851006@mynwu.c.za</t>
  </si>
  <si>
    <t>Lugayizi</t>
  </si>
  <si>
    <t xml:space="preserve">DEPARTMENT </t>
  </si>
  <si>
    <t>BSc Computer Science and Mathematics</t>
  </si>
  <si>
    <t>BSc Information Technology</t>
  </si>
  <si>
    <t>Natural and Agricultural Sciences</t>
  </si>
  <si>
    <t>Economic and Management Sciences</t>
  </si>
  <si>
    <t>Education</t>
  </si>
  <si>
    <t>Engineering</t>
  </si>
  <si>
    <t>Prof.L.Conley</t>
  </si>
  <si>
    <t>Prof.S.Swanepoel</t>
  </si>
  <si>
    <t>Building G4</t>
  </si>
  <si>
    <t>Building E3</t>
  </si>
  <si>
    <t>Building C1</t>
  </si>
  <si>
    <t>Building F2</t>
  </si>
  <si>
    <t>Mr.L.Dube</t>
  </si>
  <si>
    <t>Mrs.R.Jacobs</t>
  </si>
  <si>
    <t>Prof.A.Naidoo</t>
  </si>
  <si>
    <t>location(building)</t>
  </si>
  <si>
    <t>A4-R121</t>
  </si>
  <si>
    <t>A4-R112</t>
  </si>
  <si>
    <t>A4-R118</t>
  </si>
  <si>
    <t>N</t>
  </si>
  <si>
    <t>E3-R102</t>
  </si>
  <si>
    <t>E3-R101</t>
  </si>
  <si>
    <t>F2-R080</t>
  </si>
  <si>
    <t>C1-R112</t>
  </si>
  <si>
    <t>G4-R122</t>
  </si>
  <si>
    <t>BEng Mech</t>
  </si>
  <si>
    <t>BEng Elec</t>
  </si>
  <si>
    <t>BA English</t>
  </si>
  <si>
    <t>Bcom Bus</t>
  </si>
  <si>
    <t>BEd Found</t>
  </si>
  <si>
    <t>BSc Computer  Science</t>
  </si>
  <si>
    <t>G4-R12</t>
  </si>
  <si>
    <t>G4-R08</t>
  </si>
  <si>
    <t>E3-R05</t>
  </si>
  <si>
    <t>E3-R10</t>
  </si>
  <si>
    <t>E3-R19</t>
  </si>
  <si>
    <t>A4-R02</t>
  </si>
  <si>
    <t>A4-R05</t>
  </si>
  <si>
    <t>A4-R08</t>
  </si>
  <si>
    <t>C1-R15</t>
  </si>
  <si>
    <t>F2-R02</t>
  </si>
  <si>
    <t>F2-R03</t>
  </si>
  <si>
    <t>Financial Accounting</t>
  </si>
  <si>
    <t>ENGL213</t>
  </si>
  <si>
    <t>English Litrature</t>
  </si>
  <si>
    <t>MFPC111</t>
  </si>
  <si>
    <t>Foundation Phase Mathematics</t>
  </si>
  <si>
    <t>BEd Foundation Phase</t>
  </si>
  <si>
    <t>Bcom Business Management</t>
  </si>
  <si>
    <t>BEng Mechanicl Engineering</t>
  </si>
  <si>
    <t xml:space="preserve">BA Accounting </t>
  </si>
  <si>
    <t>ENLL</t>
  </si>
  <si>
    <t>O420P</t>
  </si>
  <si>
    <t>5DB-H01</t>
  </si>
  <si>
    <t>N158-191</t>
  </si>
  <si>
    <t>N157 - 191</t>
  </si>
  <si>
    <t>5DB-H00</t>
  </si>
  <si>
    <t>5FP-H01</t>
  </si>
  <si>
    <t>7CJK01 - I425</t>
  </si>
  <si>
    <t>7CJK01 - I426</t>
  </si>
  <si>
    <t>Thermodynamics</t>
  </si>
  <si>
    <t>Circuit Analysis</t>
  </si>
  <si>
    <t>TMDS121</t>
  </si>
  <si>
    <t>CIAS311</t>
  </si>
  <si>
    <t>N157 - 192</t>
  </si>
  <si>
    <t>N157 - 193</t>
  </si>
  <si>
    <t>N157 - 190</t>
  </si>
  <si>
    <t>N158- 190</t>
  </si>
  <si>
    <t>5DB- G00</t>
  </si>
  <si>
    <t>O419P</t>
  </si>
  <si>
    <t>5FP- H00</t>
  </si>
  <si>
    <t>7CJK01 - I1423</t>
  </si>
  <si>
    <t>7CJK01 - I1424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</si>
  <si>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</si>
  <si>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</si>
  <si>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</si>
  <si>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</si>
  <si>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</si>
  <si>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</si>
  <si>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</si>
  <si>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</si>
  <si>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</si>
  <si>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</si>
  <si>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</si>
  <si>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</si>
  <si>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</si>
  <si>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</si>
  <si>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</si>
  <si>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</si>
  <si>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 xml:space="preserve">MODULE </t>
  </si>
  <si>
    <t>A5</t>
  </si>
  <si>
    <t>A10</t>
  </si>
  <si>
    <t>H101</t>
  </si>
  <si>
    <t>H102</t>
  </si>
  <si>
    <t>H103</t>
  </si>
  <si>
    <t>H104</t>
  </si>
  <si>
    <t>H01</t>
  </si>
  <si>
    <t>H02</t>
  </si>
  <si>
    <t>H03</t>
  </si>
  <si>
    <t>H04</t>
  </si>
  <si>
    <t>H05</t>
  </si>
  <si>
    <t>A5-H101</t>
  </si>
  <si>
    <t>A5-H102</t>
  </si>
  <si>
    <t>A5-H103</t>
  </si>
  <si>
    <t>A5-H104</t>
  </si>
  <si>
    <t>A10-H01</t>
  </si>
  <si>
    <t>A10-H02</t>
  </si>
  <si>
    <t>A10-H03</t>
  </si>
  <si>
    <t>A10-H04</t>
  </si>
  <si>
    <t>A10-H05</t>
  </si>
  <si>
    <t>08H00</t>
  </si>
  <si>
    <t>09H30</t>
  </si>
  <si>
    <t>10H00</t>
  </si>
  <si>
    <t>11H30</t>
  </si>
  <si>
    <t>12H00</t>
  </si>
  <si>
    <t>13H30</t>
  </si>
  <si>
    <t>14H00</t>
  </si>
  <si>
    <t>15H30</t>
  </si>
  <si>
    <t>16H00</t>
  </si>
  <si>
    <t>17H30</t>
  </si>
  <si>
    <t>waitlist</t>
  </si>
  <si>
    <t>Finances</t>
  </si>
  <si>
    <t>Transfer</t>
  </si>
  <si>
    <t>Add to waitlist</t>
  </si>
  <si>
    <t/>
  </si>
  <si>
    <t>ENROLLED</t>
  </si>
  <si>
    <t>NOT ENROLLED</t>
  </si>
  <si>
    <t>PENDING</t>
  </si>
  <si>
    <t>BEng Electrical  Engineering</t>
  </si>
  <si>
    <t>offered</t>
  </si>
  <si>
    <t>waiting</t>
  </si>
  <si>
    <t>payment waiting</t>
  </si>
  <si>
    <t>Y</t>
  </si>
  <si>
    <t xml:space="preserve"> Science</t>
  </si>
  <si>
    <t>Business School</t>
  </si>
  <si>
    <t xml:space="preserve"> Engineering</t>
  </si>
  <si>
    <t>Languages</t>
  </si>
  <si>
    <t xml:space="preserve">Thapelo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</si>
</sst>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&quot;R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1" applyBorder="1"/>
    <xf numFmtId="14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1" fontId="0" fillId="3" borderId="1" xfId="0" applyNumberFormat="1" applyFill="1" applyBorder="1"/>
    <xf numFmtId="0" fontId="0" fillId="2" borderId="5" xfId="0" applyFill="1" applyBorder="1"/>
    <xf numFmtId="0" fontId="1" fillId="4" borderId="1" xfId="1" applyFill="1" applyBorder="1"/>
    <xf numFmtId="1" fontId="0" fillId="0" borderId="0" xfId="0" applyNumberFormat="1"/>
    <xf numFmtId="0" fontId="1" fillId="0" borderId="1" xfId="1" applyFill="1" applyBorder="1"/>
    <xf numFmtId="0" fontId="0" fillId="0" borderId="0" xfId="0" applyAlignment="1">
      <alignment horizontal="center"/>
    </xf>
    <xf numFmtId="0" fontId="0" fillId="0" borderId="6" xfId="0" applyBorder="1"/>
    <xf numFmtId="0" fontId="0" fillId="3" borderId="6" xfId="0" applyFill="1" applyBorder="1"/>
    <xf numFmtId="0" fontId="0" fillId="0" borderId="7" xfId="0" applyBorder="1"/>
    <xf numFmtId="0" fontId="1" fillId="0" borderId="0" xfId="1" applyFill="1" applyBorder="1"/>
    <xf numFmtId="14" fontId="0" fillId="0" borderId="0" xfId="0" applyNumberFormat="1"/>
    <xf numFmtId="164" fontId="0" fillId="0" borderId="0" xfId="0" applyNumberFormat="1"/>
    <xf numFmtId="1" fontId="0" fillId="2" borderId="1" xfId="0" applyNumberFormat="1" applyFill="1" applyBorder="1"/>
    <xf numFmtId="3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0" fillId="0" borderId="5" xfId="0" applyBorder="1"/>
    <xf numFmtId="0" fontId="0" fillId="2" borderId="6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3851006@mynwu.c.za" TargetMode="External"/><Relationship Id="rId3" Type="http://schemas.openxmlformats.org/officeDocument/2006/relationships/hyperlink" Target="mailto:3851003@mynwu.ac.za" TargetMode="External"/><Relationship Id="rId7" Type="http://schemas.openxmlformats.org/officeDocument/2006/relationships/hyperlink" Target="mailto:3851006@mynwu.c.za" TargetMode="External"/><Relationship Id="rId2" Type="http://schemas.openxmlformats.org/officeDocument/2006/relationships/hyperlink" Target="mailto:3851002@,ynwu.ac.za" TargetMode="External"/><Relationship Id="rId1" Type="http://schemas.openxmlformats.org/officeDocument/2006/relationships/hyperlink" Target="mailto:3851001@mynwu.ac.za" TargetMode="External"/><Relationship Id="rId6" Type="http://schemas.openxmlformats.org/officeDocument/2006/relationships/hyperlink" Target="mailto:3851006@mynwu.c.za" TargetMode="External"/><Relationship Id="rId11" Type="http://schemas.openxmlformats.org/officeDocument/2006/relationships/hyperlink" Target="mailto:3851006@mynwu.c.za" TargetMode="External"/><Relationship Id="rId5" Type="http://schemas.openxmlformats.org/officeDocument/2006/relationships/hyperlink" Target="mailto:3851005@mynwu.c.za" TargetMode="External"/><Relationship Id="rId10" Type="http://schemas.openxmlformats.org/officeDocument/2006/relationships/hyperlink" Target="mailto:3851006@mynwu.c.za" TargetMode="External"/><Relationship Id="rId4" Type="http://schemas.openxmlformats.org/officeDocument/2006/relationships/hyperlink" Target="mailto:3851004@mynwu.ac.za" TargetMode="External"/><Relationship Id="rId9" Type="http://schemas.openxmlformats.org/officeDocument/2006/relationships/hyperlink" Target="mailto:3851006@mynwu.c.z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43771920@mynwu.ac.za" TargetMode="External"/><Relationship Id="rId13" Type="http://schemas.openxmlformats.org/officeDocument/2006/relationships/hyperlink" Target="mailto:37425974@mynwu.ac.za" TargetMode="External"/><Relationship Id="rId3" Type="http://schemas.openxmlformats.org/officeDocument/2006/relationships/hyperlink" Target="mailto:43056717@mynwu.ac.za" TargetMode="External"/><Relationship Id="rId7" Type="http://schemas.openxmlformats.org/officeDocument/2006/relationships/hyperlink" Target="mailto:46499458@mynwu.ac.za" TargetMode="External"/><Relationship Id="rId12" Type="http://schemas.openxmlformats.org/officeDocument/2006/relationships/hyperlink" Target="mailto:48425677@mynwu.ac.za" TargetMode="External"/><Relationship Id="rId2" Type="http://schemas.openxmlformats.org/officeDocument/2006/relationships/hyperlink" Target="mailto:44839197@mynwu.ac.za" TargetMode="External"/><Relationship Id="rId16" Type="http://schemas.openxmlformats.org/officeDocument/2006/relationships/hyperlink" Target="mailto:40045601@mynwu.ac.za" TargetMode="External"/><Relationship Id="rId1" Type="http://schemas.openxmlformats.org/officeDocument/2006/relationships/hyperlink" Target="mailto:40939170@mynwu.ac.za" TargetMode="External"/><Relationship Id="rId6" Type="http://schemas.openxmlformats.org/officeDocument/2006/relationships/hyperlink" Target="mailto:52442179@mynwu.ac.za" TargetMode="External"/><Relationship Id="rId11" Type="http://schemas.openxmlformats.org/officeDocument/2006/relationships/hyperlink" Target="mailto:41123756@mynwu.ac.za" TargetMode="External"/><Relationship Id="rId5" Type="http://schemas.openxmlformats.org/officeDocument/2006/relationships/hyperlink" Target="mailto:45229090@mynwu.ac.za" TargetMode="External"/><Relationship Id="rId15" Type="http://schemas.openxmlformats.org/officeDocument/2006/relationships/hyperlink" Target="mailto:39456919@mynwu.ac.za" TargetMode="External"/><Relationship Id="rId10" Type="http://schemas.openxmlformats.org/officeDocument/2006/relationships/hyperlink" Target="mailto:39112001@mynwu.ac.za" TargetMode="External"/><Relationship Id="rId4" Type="http://schemas.openxmlformats.org/officeDocument/2006/relationships/hyperlink" Target="mailto:45154597@mynwu.ac.za" TargetMode="External"/><Relationship Id="rId9" Type="http://schemas.openxmlformats.org/officeDocument/2006/relationships/hyperlink" Target="mailto:38221045@mynwu.ac.za" TargetMode="External"/><Relationship Id="rId14" Type="http://schemas.openxmlformats.org/officeDocument/2006/relationships/hyperlink" Target="mailto:44869874@mynwu.ac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C8FB-16EC-47C3-8366-1D5B83BA894B}">
  <dimension ref="A1:T106"/>
  <sheetViews>
    <sheetView zoomScale="81" zoomScaleNormal="80" workbookViewId="0">
      <selection activeCell="G78" sqref="G78"/>
    </sheetView>
  </sheetViews>
  <sheetFormatPr defaultRowHeight="15" x14ac:dyDescent="0.25"/>
  <cols>
    <col min="1" max="1" width="16.28515625" customWidth="1"/>
    <col min="2" max="2" width="37" customWidth="1"/>
    <col min="3" max="3" width="25" customWidth="1"/>
    <col min="4" max="4" width="22.42578125" customWidth="1"/>
    <col min="5" max="5" width="22.140625" customWidth="1"/>
    <col min="6" max="6" width="18.28515625" customWidth="1"/>
    <col min="7" max="7" width="25.85546875" customWidth="1"/>
    <col min="8" max="8" width="24.7109375" customWidth="1"/>
    <col min="9" max="9" width="21" customWidth="1"/>
    <col min="10" max="10" width="16.5703125" customWidth="1"/>
    <col min="11" max="11" width="21.42578125" customWidth="1"/>
    <col min="12" max="12" width="15.85546875" customWidth="1"/>
    <col min="13" max="13" width="33.28515625" customWidth="1"/>
    <col min="14" max="14" width="17.7109375" customWidth="1"/>
    <col min="15" max="15" width="17.140625" customWidth="1"/>
    <col min="16" max="16" width="13.28515625" customWidth="1"/>
    <col min="17" max="17" width="16.42578125" customWidth="1"/>
    <col min="18" max="18" width="11" customWidth="1"/>
    <col min="19" max="19" width="24.140625" customWidth="1"/>
    <col min="20" max="20" width="16.7109375" customWidth="1"/>
  </cols>
  <sheetData>
    <row r="1" spans="3:15" x14ac:dyDescent="0.25">
      <c r="E1" s="35" t="s">
        <v>0</v>
      </c>
      <c r="F1" s="35"/>
      <c r="G1" s="35"/>
      <c r="H1" s="35"/>
      <c r="I1" s="35"/>
      <c r="J1" s="35"/>
      <c r="K1" s="35"/>
      <c r="L1" s="35"/>
    </row>
    <row r="2" spans="3:15" x14ac:dyDescent="0.25">
      <c r="C2" s="36" t="s">
        <v>1</v>
      </c>
      <c r="D2" s="36"/>
      <c r="E2" s="36"/>
      <c r="F2" s="36"/>
    </row>
    <row r="3" spans="3:15" x14ac:dyDescent="0.25">
      <c r="C3" s="21" t="s">
        <v>2</v>
      </c>
      <c r="D3" s="20" t="s">
        <v>3</v>
      </c>
      <c r="E3" s="22" t="s">
        <v>4</v>
      </c>
      <c r="F3" s="20" t="s">
        <v>5</v>
      </c>
      <c r="N3" s="32" t="s">
        <v>77</v>
      </c>
      <c r="O3" s="34"/>
    </row>
    <row r="4" spans="3:15" x14ac:dyDescent="0.25">
      <c r="C4" s="9">
        <v>1001</v>
      </c>
      <c r="D4" s="1" t="s">
        <v>177</v>
      </c>
      <c r="E4" s="1" t="s">
        <v>68</v>
      </c>
      <c r="F4" s="20" t="s">
        <v>67</v>
      </c>
      <c r="N4" s="1" t="s">
        <v>78</v>
      </c>
      <c r="O4" s="9"/>
    </row>
    <row r="5" spans="3:15" x14ac:dyDescent="0.25">
      <c r="C5" s="9">
        <v>1002</v>
      </c>
      <c r="D5" s="1" t="s">
        <v>178</v>
      </c>
      <c r="E5" s="1" t="s">
        <v>69</v>
      </c>
      <c r="F5" s="1" t="s">
        <v>184</v>
      </c>
      <c r="M5" s="1" t="s">
        <v>79</v>
      </c>
      <c r="N5" s="8"/>
    </row>
    <row r="6" spans="3:15" x14ac:dyDescent="0.25">
      <c r="C6" s="9">
        <v>1003</v>
      </c>
      <c r="D6" s="1" t="s">
        <v>66</v>
      </c>
      <c r="E6" s="1" t="s">
        <v>70</v>
      </c>
      <c r="F6" s="1" t="s">
        <v>185</v>
      </c>
    </row>
    <row r="7" spans="3:15" x14ac:dyDescent="0.25">
      <c r="C7" s="9">
        <f>SUM(C6+1)</f>
        <v>1004</v>
      </c>
      <c r="D7" s="1" t="s">
        <v>179</v>
      </c>
      <c r="E7" s="1" t="s">
        <v>181</v>
      </c>
      <c r="F7" s="1" t="s">
        <v>183</v>
      </c>
    </row>
    <row r="8" spans="3:15" x14ac:dyDescent="0.25">
      <c r="C8" s="9">
        <f>SUM(C7+1)</f>
        <v>1005</v>
      </c>
      <c r="D8" s="1" t="s">
        <v>180</v>
      </c>
      <c r="E8" s="1" t="s">
        <v>182</v>
      </c>
      <c r="F8" s="1" t="s">
        <v>186</v>
      </c>
    </row>
    <row r="10" spans="3:15" x14ac:dyDescent="0.25">
      <c r="D10" s="35"/>
      <c r="E10" s="35"/>
    </row>
    <row r="21" spans="7:11" x14ac:dyDescent="0.25">
      <c r="K21" s="25"/>
    </row>
    <row r="22" spans="7:11" x14ac:dyDescent="0.25">
      <c r="G22" s="24"/>
      <c r="K22" s="25"/>
    </row>
    <row r="23" spans="7:11" x14ac:dyDescent="0.25">
      <c r="G23" s="24"/>
      <c r="K23" s="25"/>
    </row>
    <row r="24" spans="7:11" x14ac:dyDescent="0.25">
      <c r="G24" s="24"/>
      <c r="K24" s="25"/>
    </row>
    <row r="25" spans="7:11" x14ac:dyDescent="0.25">
      <c r="G25" s="24"/>
      <c r="K25" s="25"/>
    </row>
    <row r="26" spans="7:11" x14ac:dyDescent="0.25">
      <c r="G26" s="24"/>
      <c r="K26" s="25"/>
    </row>
    <row r="27" spans="7:11" x14ac:dyDescent="0.25">
      <c r="G27" s="24"/>
      <c r="K27" s="25"/>
    </row>
    <row r="28" spans="7:11" x14ac:dyDescent="0.25">
      <c r="G28" s="24"/>
      <c r="K28" s="25"/>
    </row>
    <row r="29" spans="7:11" x14ac:dyDescent="0.25">
      <c r="G29" s="24"/>
      <c r="K29" s="25"/>
    </row>
    <row r="30" spans="7:11" x14ac:dyDescent="0.25">
      <c r="G30" s="24"/>
      <c r="K30" s="25"/>
    </row>
    <row r="32" spans="7:11" ht="4.5" customHeight="1" x14ac:dyDescent="0.25"/>
    <row r="33" spans="1:19" x14ac:dyDescent="0.25">
      <c r="A33" s="35"/>
      <c r="B33" s="35"/>
      <c r="C33" s="35"/>
      <c r="D33" s="35"/>
      <c r="E33" s="35"/>
      <c r="F33" s="35"/>
      <c r="G33" s="35"/>
      <c r="H33" s="35"/>
      <c r="I33" s="35"/>
    </row>
    <row r="35" spans="1:19" x14ac:dyDescent="0.25">
      <c r="D35" s="23"/>
      <c r="E35" s="27"/>
    </row>
    <row r="36" spans="1:19" x14ac:dyDescent="0.25">
      <c r="D36" s="23"/>
      <c r="E36" s="27"/>
    </row>
    <row r="37" spans="1:19" x14ac:dyDescent="0.25">
      <c r="D37" s="23"/>
      <c r="E37" s="27"/>
    </row>
    <row r="38" spans="1:19" x14ac:dyDescent="0.25">
      <c r="D38" s="23"/>
      <c r="E38" s="27"/>
    </row>
    <row r="39" spans="1:19" x14ac:dyDescent="0.25">
      <c r="D39" s="23"/>
      <c r="E39" s="27"/>
    </row>
    <row r="40" spans="1:19" x14ac:dyDescent="0.25">
      <c r="D40" s="23"/>
      <c r="E40" s="27"/>
    </row>
    <row r="41" spans="1:19" x14ac:dyDescent="0.25">
      <c r="D41" s="23"/>
      <c r="E41" s="27"/>
    </row>
    <row r="42" spans="1:19" x14ac:dyDescent="0.25">
      <c r="D42" s="23"/>
      <c r="E42" s="27"/>
    </row>
    <row r="43" spans="1:19" x14ac:dyDescent="0.25">
      <c r="D43" s="23"/>
      <c r="E43" s="27"/>
      <c r="N43" s="19"/>
      <c r="O43" s="19"/>
      <c r="P43" s="19"/>
      <c r="Q43" s="19"/>
      <c r="R43" s="19"/>
      <c r="S43" s="19"/>
    </row>
    <row r="44" spans="1:19" x14ac:dyDescent="0.25">
      <c r="D44" s="23"/>
      <c r="E44" s="27"/>
    </row>
    <row r="45" spans="1:19" x14ac:dyDescent="0.25">
      <c r="D45" s="23"/>
      <c r="E45" s="27"/>
      <c r="P45" s="25"/>
    </row>
    <row r="46" spans="1:19" x14ac:dyDescent="0.25">
      <c r="P46" s="25"/>
    </row>
    <row r="47" spans="1:19" x14ac:dyDescent="0.25">
      <c r="P47" s="25"/>
    </row>
    <row r="48" spans="1:19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P48" s="25"/>
    </row>
    <row r="49" spans="1:16" x14ac:dyDescent="0.25">
      <c r="P49" s="25"/>
    </row>
    <row r="50" spans="1:16" x14ac:dyDescent="0.25">
      <c r="A50" s="17"/>
      <c r="P50" s="25"/>
    </row>
    <row r="51" spans="1:16" x14ac:dyDescent="0.25">
      <c r="A51" s="17"/>
      <c r="P51" s="25"/>
    </row>
    <row r="52" spans="1:16" x14ac:dyDescent="0.25">
      <c r="A52" s="17"/>
      <c r="P52" s="25"/>
    </row>
    <row r="53" spans="1:16" x14ac:dyDescent="0.25">
      <c r="A53" s="17"/>
      <c r="P53" s="25"/>
    </row>
    <row r="54" spans="1:16" x14ac:dyDescent="0.25">
      <c r="A54" s="17"/>
      <c r="P54" s="25"/>
    </row>
    <row r="55" spans="1:16" x14ac:dyDescent="0.25">
      <c r="A55" s="17"/>
      <c r="P55" s="25"/>
    </row>
    <row r="56" spans="1:16" x14ac:dyDescent="0.25">
      <c r="A56" s="17"/>
      <c r="P56" s="25"/>
    </row>
    <row r="57" spans="1:16" x14ac:dyDescent="0.25">
      <c r="A57" s="17"/>
      <c r="P57" s="25"/>
    </row>
    <row r="58" spans="1:16" x14ac:dyDescent="0.25">
      <c r="A58" s="17"/>
      <c r="P58" s="25"/>
    </row>
    <row r="59" spans="1:16" x14ac:dyDescent="0.25">
      <c r="A59" s="35"/>
      <c r="B59" s="35"/>
      <c r="C59" s="35"/>
      <c r="D59" s="35"/>
      <c r="E59" s="35"/>
      <c r="F59" s="35"/>
      <c r="G59" s="35"/>
      <c r="H59" s="35"/>
      <c r="P59" s="25"/>
    </row>
    <row r="60" spans="1:16" x14ac:dyDescent="0.25">
      <c r="P60" s="25"/>
    </row>
    <row r="61" spans="1:16" x14ac:dyDescent="0.25">
      <c r="A61" s="17"/>
      <c r="F61" s="17"/>
    </row>
    <row r="62" spans="1:16" x14ac:dyDescent="0.25">
      <c r="A62" s="17"/>
      <c r="F62" s="17"/>
    </row>
    <row r="63" spans="1:16" x14ac:dyDescent="0.25">
      <c r="A63" s="17"/>
      <c r="F63" s="17"/>
    </row>
    <row r="64" spans="1:16" x14ac:dyDescent="0.25">
      <c r="A64" s="17"/>
      <c r="F64" s="17"/>
    </row>
    <row r="65" spans="1:20" x14ac:dyDescent="0.25">
      <c r="A65" s="17"/>
      <c r="F65" s="17"/>
    </row>
    <row r="66" spans="1:20" x14ac:dyDescent="0.25">
      <c r="A66" s="17"/>
      <c r="F66" s="17"/>
      <c r="S66" s="35"/>
      <c r="T66" s="35"/>
    </row>
    <row r="67" spans="1:20" x14ac:dyDescent="0.25">
      <c r="A67" s="17"/>
      <c r="F67" s="17"/>
    </row>
    <row r="68" spans="1:20" x14ac:dyDescent="0.25">
      <c r="A68" s="17"/>
      <c r="F68" s="17"/>
      <c r="S68" s="17"/>
    </row>
    <row r="69" spans="1:20" x14ac:dyDescent="0.25">
      <c r="A69" s="17"/>
      <c r="F69" s="17"/>
      <c r="S69" s="17"/>
    </row>
    <row r="70" spans="1:20" x14ac:dyDescent="0.25">
      <c r="A70" s="17"/>
      <c r="F70" s="17"/>
      <c r="S70" s="17"/>
    </row>
    <row r="71" spans="1:20" x14ac:dyDescent="0.25">
      <c r="A71" s="17"/>
      <c r="F71" s="17"/>
      <c r="S71" s="17"/>
    </row>
    <row r="72" spans="1:20" x14ac:dyDescent="0.25">
      <c r="A72" s="17"/>
      <c r="F72" s="17"/>
      <c r="S72" s="17"/>
    </row>
    <row r="73" spans="1:20" x14ac:dyDescent="0.25">
      <c r="A73" s="17"/>
      <c r="F73" s="17"/>
      <c r="S73" s="17"/>
    </row>
    <row r="74" spans="1:20" x14ac:dyDescent="0.25">
      <c r="S74" s="17"/>
    </row>
    <row r="75" spans="1:20" x14ac:dyDescent="0.25">
      <c r="S75" s="17"/>
    </row>
    <row r="77" spans="1:20" x14ac:dyDescent="0.25">
      <c r="A77" s="35"/>
      <c r="B77" s="35"/>
      <c r="C77" s="35"/>
      <c r="D77" s="35"/>
      <c r="E77" s="35"/>
      <c r="F77" s="35"/>
      <c r="G77" s="19"/>
    </row>
    <row r="81" spans="1:19" x14ac:dyDescent="0.25">
      <c r="R81" s="29"/>
      <c r="S81" s="25"/>
    </row>
    <row r="82" spans="1:19" x14ac:dyDescent="0.25">
      <c r="R82" s="29"/>
      <c r="S82" s="25"/>
    </row>
    <row r="83" spans="1:19" x14ac:dyDescent="0.25">
      <c r="R83" s="29"/>
      <c r="S83" s="25"/>
    </row>
    <row r="84" spans="1:19" x14ac:dyDescent="0.25">
      <c r="R84" s="29"/>
      <c r="S84" s="25"/>
    </row>
    <row r="85" spans="1:19" x14ac:dyDescent="0.25">
      <c r="R85" s="29"/>
      <c r="S85" s="25"/>
    </row>
    <row r="86" spans="1:19" x14ac:dyDescent="0.25">
      <c r="R86" s="29"/>
      <c r="S86" s="25"/>
    </row>
    <row r="87" spans="1:19" x14ac:dyDescent="0.25">
      <c r="R87" s="29"/>
      <c r="S87" s="25"/>
    </row>
    <row r="88" spans="1:19" x14ac:dyDescent="0.25">
      <c r="R88" s="29"/>
      <c r="S88" s="25"/>
    </row>
    <row r="89" spans="1:19" x14ac:dyDescent="0.25">
      <c r="J89" s="35"/>
      <c r="K89" s="35"/>
      <c r="L89" s="35"/>
      <c r="M89" s="35"/>
      <c r="R89" s="29"/>
      <c r="S89" s="25"/>
    </row>
    <row r="90" spans="1:19" x14ac:dyDescent="0.25">
      <c r="R90" s="29"/>
      <c r="S90" s="25"/>
    </row>
    <row r="91" spans="1:19" x14ac:dyDescent="0.25">
      <c r="M91" s="25"/>
      <c r="R91" s="29"/>
      <c r="S91" s="25"/>
    </row>
    <row r="92" spans="1:19" x14ac:dyDescent="0.25">
      <c r="A92" s="35"/>
      <c r="B92" s="35"/>
      <c r="C92" s="35"/>
      <c r="D92" s="35"/>
      <c r="E92" s="35"/>
      <c r="F92" s="35"/>
      <c r="G92" s="19"/>
      <c r="M92" s="25"/>
      <c r="R92" s="29"/>
      <c r="S92" s="25"/>
    </row>
    <row r="93" spans="1:19" x14ac:dyDescent="0.25">
      <c r="M93" s="25"/>
      <c r="R93" s="29"/>
      <c r="S93" s="25"/>
    </row>
    <row r="94" spans="1:19" x14ac:dyDescent="0.25">
      <c r="M94" s="25"/>
      <c r="R94" s="29"/>
      <c r="S94" s="25"/>
    </row>
    <row r="95" spans="1:19" x14ac:dyDescent="0.25">
      <c r="M95" s="25"/>
      <c r="R95" s="29"/>
      <c r="S95" s="25"/>
    </row>
    <row r="96" spans="1:19" x14ac:dyDescent="0.25">
      <c r="M96" s="25"/>
      <c r="R96" s="29"/>
      <c r="S96" s="25"/>
    </row>
    <row r="97" spans="13:13" x14ac:dyDescent="0.25">
      <c r="M97" s="25"/>
    </row>
    <row r="98" spans="13:13" x14ac:dyDescent="0.25">
      <c r="M98" s="25"/>
    </row>
    <row r="99" spans="13:13" x14ac:dyDescent="0.25">
      <c r="M99" s="25"/>
    </row>
    <row r="100" spans="13:13" x14ac:dyDescent="0.25">
      <c r="M100" s="25"/>
    </row>
    <row r="101" spans="13:13" x14ac:dyDescent="0.25">
      <c r="M101" s="25"/>
    </row>
    <row r="102" spans="13:13" x14ac:dyDescent="0.25">
      <c r="M102" s="25"/>
    </row>
    <row r="103" spans="13:13" x14ac:dyDescent="0.25">
      <c r="M103" s="25"/>
    </row>
    <row r="104" spans="13:13" x14ac:dyDescent="0.25">
      <c r="M104" s="25"/>
    </row>
    <row r="105" spans="13:13" x14ac:dyDescent="0.25">
      <c r="M105" s="25"/>
    </row>
    <row r="106" spans="13:13" x14ac:dyDescent="0.25">
      <c r="M106" s="25"/>
    </row>
  </sheetData>
  <sheetProtection algorithmName="SHA-512" hashValue="JpOWPV8zAq44rNZRldN9Vh4ulb5IArgY8h7VhSeFxmAz9keDDbGPUWeEiE8red0MvxMuRX03aV81yb/TdOAHeQ==" saltValue="IHChSI3es5tXit/Dv7rEFQ==" spinCount="100000" sheet="1" objects="1" scenarios="1"/>
  <mergeCells count="11">
    <mergeCell ref="E1:L1"/>
    <mergeCell ref="A92:F92"/>
    <mergeCell ref="S66:T66"/>
    <mergeCell ref="J89:M89"/>
    <mergeCell ref="A77:F77"/>
    <mergeCell ref="A59:H59"/>
    <mergeCell ref="A48:J48"/>
    <mergeCell ref="A33:I33"/>
    <mergeCell ref="C2:F2"/>
    <mergeCell ref="D10:E10"/>
    <mergeCell ref="N3: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26B8-5ED2-4462-B0CA-6883F349C16D}">
  <dimension ref="A1:E10"/>
  <sheetViews>
    <sheetView workbookViewId="0">
      <selection activeCell="C14" sqref="C14"/>
    </sheetView>
  </sheetViews>
  <sheetFormatPr defaultRowHeight="15" x14ac:dyDescent="0.25"/>
  <cols>
    <col min="1" max="1" width="17.7109375" customWidth="1"/>
    <col min="2" max="2" width="24.5703125" customWidth="1"/>
    <col min="3" max="3" width="23.85546875" customWidth="1"/>
    <col min="4" max="4" width="14.42578125" customWidth="1"/>
    <col min="5" max="5" width="23.5703125" customWidth="1"/>
    <col min="6" max="7" width="26.85546875" customWidth="1"/>
    <col min="8" max="8" width="14.7109375" customWidth="1"/>
  </cols>
  <sheetData>
    <row r="1" spans="1:5" x14ac:dyDescent="0.25">
      <c r="A1" s="32" t="s">
        <v>174</v>
      </c>
      <c r="B1" s="33"/>
      <c r="C1" s="33"/>
      <c r="D1" s="33"/>
      <c r="E1" s="34"/>
    </row>
    <row r="2" spans="1:5" x14ac:dyDescent="0.25">
      <c r="A2" s="9" t="s">
        <v>6</v>
      </c>
      <c r="B2" s="5" t="s">
        <v>7</v>
      </c>
      <c r="C2" s="1" t="s">
        <v>8</v>
      </c>
      <c r="D2" s="1" t="s">
        <v>190</v>
      </c>
      <c r="E2" s="8" t="s">
        <v>2</v>
      </c>
    </row>
    <row r="3" spans="1:5" x14ac:dyDescent="0.25">
      <c r="A3" s="9">
        <v>101</v>
      </c>
      <c r="B3" s="5" t="s">
        <v>308</v>
      </c>
      <c r="C3" s="1" t="s">
        <v>73</v>
      </c>
      <c r="D3" s="1" t="s">
        <v>191</v>
      </c>
      <c r="E3" s="8">
        <v>1001</v>
      </c>
    </row>
    <row r="4" spans="1:5" x14ac:dyDescent="0.25">
      <c r="A4" s="9">
        <v>102</v>
      </c>
      <c r="B4" s="5" t="s">
        <v>71</v>
      </c>
      <c r="C4" s="1" t="s">
        <v>74</v>
      </c>
      <c r="D4" s="1" t="s">
        <v>192</v>
      </c>
      <c r="E4" s="8">
        <v>1001</v>
      </c>
    </row>
    <row r="5" spans="1:5" x14ac:dyDescent="0.25">
      <c r="A5" s="9">
        <v>103</v>
      </c>
      <c r="B5" s="5" t="s">
        <v>145</v>
      </c>
      <c r="C5" s="1" t="s">
        <v>146</v>
      </c>
      <c r="D5" s="1" t="s">
        <v>193</v>
      </c>
      <c r="E5" s="8">
        <v>1001</v>
      </c>
    </row>
    <row r="6" spans="1:5" x14ac:dyDescent="0.25">
      <c r="A6" s="9">
        <v>201</v>
      </c>
      <c r="B6" s="5" t="s">
        <v>309</v>
      </c>
      <c r="C6" s="1" t="s">
        <v>75</v>
      </c>
      <c r="D6" s="1" t="s">
        <v>195</v>
      </c>
      <c r="E6" s="8">
        <v>2001</v>
      </c>
    </row>
    <row r="7" spans="1:5" x14ac:dyDescent="0.25">
      <c r="A7" s="9">
        <v>202</v>
      </c>
      <c r="B7" s="5" t="s">
        <v>72</v>
      </c>
      <c r="C7" s="1" t="s">
        <v>76</v>
      </c>
      <c r="D7" s="1" t="s">
        <v>196</v>
      </c>
      <c r="E7" s="8">
        <v>2001</v>
      </c>
    </row>
    <row r="8" spans="1:5" x14ac:dyDescent="0.25">
      <c r="A8" s="9">
        <v>301</v>
      </c>
      <c r="B8" s="1" t="s">
        <v>311</v>
      </c>
      <c r="C8" s="1" t="s">
        <v>187</v>
      </c>
      <c r="D8" s="1" t="s">
        <v>198</v>
      </c>
      <c r="E8" s="8">
        <v>3001</v>
      </c>
    </row>
    <row r="9" spans="1:5" x14ac:dyDescent="0.25">
      <c r="A9" s="9">
        <v>401</v>
      </c>
      <c r="B9" s="1" t="s">
        <v>179</v>
      </c>
      <c r="C9" s="1" t="s">
        <v>188</v>
      </c>
      <c r="D9" s="1" t="s">
        <v>199</v>
      </c>
      <c r="E9" s="8">
        <v>4001</v>
      </c>
    </row>
    <row r="10" spans="1:5" x14ac:dyDescent="0.25">
      <c r="A10" s="9">
        <v>501</v>
      </c>
      <c r="B10" s="1" t="s">
        <v>310</v>
      </c>
      <c r="C10" s="1" t="s">
        <v>189</v>
      </c>
      <c r="D10" s="1" t="s">
        <v>197</v>
      </c>
      <c r="E10" s="8">
        <v>5001</v>
      </c>
    </row>
  </sheetData>
  <sheetProtection algorithmName="SHA-512" hashValue="obdTt22VcBjXRiQEnhCJznDJ0z2ySRyl+8a/az6BJELPtsdnZ9Jn1VItQzxvJD9edP9otCVGUMLVHlt/kM69XQ==" saltValue="GETJv+BBPUUF+i4loOIoXA==" spinCount="100000" sheet="1" objects="1" scenarios="1"/>
  <mergeCells count="1">
    <mergeCell ref="A1:E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C12-16BB-44B4-AC18-CB63149127C6}">
  <dimension ref="B2:I14"/>
  <sheetViews>
    <sheetView workbookViewId="0">
      <selection activeCell="F4" sqref="F4"/>
    </sheetView>
  </sheetViews>
  <sheetFormatPr defaultRowHeight="15" x14ac:dyDescent="0.25"/>
  <cols>
    <col min="2" max="2" width="12.7109375" customWidth="1"/>
    <col min="3" max="3" width="13.42578125" customWidth="1"/>
    <col min="4" max="4" width="13.85546875" customWidth="1"/>
    <col min="5" max="5" width="23.7109375" customWidth="1"/>
    <col min="6" max="6" width="20" customWidth="1"/>
    <col min="7" max="7" width="11.5703125" customWidth="1"/>
    <col min="8" max="8" width="15.5703125" customWidth="1"/>
    <col min="9" max="9" width="13.28515625" customWidth="1"/>
  </cols>
  <sheetData>
    <row r="2" spans="2:9" x14ac:dyDescent="0.25">
      <c r="B2" s="32" t="s">
        <v>22</v>
      </c>
      <c r="C2" s="33"/>
      <c r="D2" s="33"/>
      <c r="E2" s="33"/>
      <c r="F2" s="33"/>
      <c r="G2" s="33"/>
      <c r="H2" s="33"/>
      <c r="I2" s="34"/>
    </row>
    <row r="3" spans="2:9" x14ac:dyDescent="0.25">
      <c r="B3" s="9" t="s">
        <v>23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24</v>
      </c>
      <c r="H3" s="8" t="s">
        <v>6</v>
      </c>
      <c r="I3" s="8" t="s">
        <v>2</v>
      </c>
    </row>
    <row r="4" spans="2:9" x14ac:dyDescent="0.25">
      <c r="B4" s="9">
        <f>SUM(3851000+1)</f>
        <v>3851001</v>
      </c>
      <c r="C4" s="1" t="s">
        <v>84</v>
      </c>
      <c r="D4" s="1" t="s">
        <v>85</v>
      </c>
      <c r="E4" s="10" t="s">
        <v>87</v>
      </c>
      <c r="F4" s="12">
        <v>27812990112</v>
      </c>
      <c r="G4" s="1" t="s">
        <v>206</v>
      </c>
      <c r="H4" s="8">
        <v>401</v>
      </c>
      <c r="I4" s="8">
        <v>4001</v>
      </c>
    </row>
    <row r="5" spans="2:9" x14ac:dyDescent="0.25">
      <c r="B5" s="9">
        <f>SUM(B4+1)</f>
        <v>3851002</v>
      </c>
      <c r="C5" s="1" t="s">
        <v>81</v>
      </c>
      <c r="D5" s="1" t="s">
        <v>86</v>
      </c>
      <c r="E5" s="10" t="s">
        <v>88</v>
      </c>
      <c r="F5" s="12">
        <v>27812990115</v>
      </c>
      <c r="G5" s="1" t="s">
        <v>214</v>
      </c>
      <c r="H5" s="8">
        <v>301</v>
      </c>
      <c r="I5" s="8">
        <v>3001</v>
      </c>
    </row>
    <row r="6" spans="2:9" x14ac:dyDescent="0.25">
      <c r="B6" s="9">
        <f>SUM(B5+1)</f>
        <v>3851003</v>
      </c>
      <c r="C6" s="1" t="s">
        <v>82</v>
      </c>
      <c r="D6" s="1" t="s">
        <v>83</v>
      </c>
      <c r="E6" s="10" t="s">
        <v>89</v>
      </c>
      <c r="F6" s="12">
        <v>27812990505</v>
      </c>
      <c r="G6" s="1" t="s">
        <v>208</v>
      </c>
      <c r="H6" s="8">
        <v>201</v>
      </c>
      <c r="I6" s="8">
        <v>2001</v>
      </c>
    </row>
    <row r="7" spans="2:9" x14ac:dyDescent="0.25">
      <c r="B7" s="9">
        <f t="shared" ref="B7:B14" si="0">SUM(B6+1)</f>
        <v>3851004</v>
      </c>
      <c r="C7" s="1" t="s">
        <v>90</v>
      </c>
      <c r="D7" s="1" t="s">
        <v>92</v>
      </c>
      <c r="E7" s="10" t="s">
        <v>93</v>
      </c>
      <c r="F7" s="12">
        <v>27812990102</v>
      </c>
      <c r="G7" s="1" t="s">
        <v>211</v>
      </c>
      <c r="H7" s="8">
        <v>101</v>
      </c>
      <c r="I7" s="8">
        <v>1001</v>
      </c>
    </row>
    <row r="8" spans="2:9" x14ac:dyDescent="0.25">
      <c r="B8" s="9">
        <f>SUM(B7+1)</f>
        <v>3851005</v>
      </c>
      <c r="C8" s="1" t="s">
        <v>91</v>
      </c>
      <c r="D8" s="1" t="s">
        <v>85</v>
      </c>
      <c r="E8" s="10" t="s">
        <v>94</v>
      </c>
      <c r="F8" s="12">
        <v>27812990105</v>
      </c>
      <c r="G8" s="1" t="s">
        <v>212</v>
      </c>
      <c r="H8" s="8">
        <v>103</v>
      </c>
      <c r="I8" s="8">
        <v>1001</v>
      </c>
    </row>
    <row r="9" spans="2:9" x14ac:dyDescent="0.25">
      <c r="B9" s="9">
        <f t="shared" si="0"/>
        <v>3851006</v>
      </c>
      <c r="C9" s="1" t="s">
        <v>162</v>
      </c>
      <c r="D9" s="1" t="s">
        <v>171</v>
      </c>
      <c r="E9" s="16" t="s">
        <v>172</v>
      </c>
      <c r="F9" s="12">
        <v>27812990010</v>
      </c>
      <c r="G9" s="1" t="s">
        <v>209</v>
      </c>
      <c r="H9" s="8">
        <v>201</v>
      </c>
      <c r="I9" s="8">
        <v>2001</v>
      </c>
    </row>
    <row r="10" spans="2:9" x14ac:dyDescent="0.25">
      <c r="B10" s="9">
        <f t="shared" si="0"/>
        <v>3851007</v>
      </c>
      <c r="C10" s="1" t="s">
        <v>163</v>
      </c>
      <c r="D10" s="1" t="s">
        <v>168</v>
      </c>
      <c r="E10" s="16" t="s">
        <v>172</v>
      </c>
      <c r="F10" s="12">
        <v>27812990008</v>
      </c>
      <c r="G10" s="1" t="s">
        <v>207</v>
      </c>
      <c r="H10" s="8">
        <v>401</v>
      </c>
      <c r="I10" s="8">
        <v>4001</v>
      </c>
    </row>
    <row r="11" spans="2:9" x14ac:dyDescent="0.25">
      <c r="B11" s="9">
        <f t="shared" si="0"/>
        <v>3851008</v>
      </c>
      <c r="C11" s="1" t="s">
        <v>80</v>
      </c>
      <c r="D11" s="1" t="s">
        <v>173</v>
      </c>
      <c r="E11" s="16" t="s">
        <v>172</v>
      </c>
      <c r="F11" s="12">
        <v>27812990080</v>
      </c>
      <c r="G11" s="1" t="s">
        <v>213</v>
      </c>
      <c r="H11" s="8">
        <v>102</v>
      </c>
      <c r="I11" s="8">
        <v>1001</v>
      </c>
    </row>
    <row r="12" spans="2:9" x14ac:dyDescent="0.25">
      <c r="B12" s="9">
        <f t="shared" si="0"/>
        <v>3851009</v>
      </c>
      <c r="C12" s="1" t="s">
        <v>164</v>
      </c>
      <c r="D12" s="1" t="s">
        <v>169</v>
      </c>
      <c r="E12" s="16" t="s">
        <v>172</v>
      </c>
      <c r="F12" s="12">
        <v>27812990019</v>
      </c>
      <c r="G12" s="1" t="s">
        <v>210</v>
      </c>
      <c r="H12" s="8">
        <v>202</v>
      </c>
      <c r="I12" s="8">
        <v>2001</v>
      </c>
    </row>
    <row r="13" spans="2:9" x14ac:dyDescent="0.25">
      <c r="B13" s="9">
        <f t="shared" si="0"/>
        <v>3851010</v>
      </c>
      <c r="C13" s="1" t="s">
        <v>165</v>
      </c>
      <c r="D13" s="1" t="s">
        <v>170</v>
      </c>
      <c r="E13" s="16" t="s">
        <v>172</v>
      </c>
      <c r="F13" s="12">
        <v>27812990003</v>
      </c>
      <c r="G13" s="1" t="s">
        <v>216</v>
      </c>
      <c r="H13" s="8">
        <v>501</v>
      </c>
      <c r="I13" s="8">
        <v>5001</v>
      </c>
    </row>
    <row r="14" spans="2:9" x14ac:dyDescent="0.25">
      <c r="B14" s="9">
        <f t="shared" si="0"/>
        <v>3851011</v>
      </c>
      <c r="C14" s="1" t="s">
        <v>166</v>
      </c>
      <c r="D14" s="1" t="s">
        <v>167</v>
      </c>
      <c r="E14" s="16" t="s">
        <v>172</v>
      </c>
      <c r="F14" s="12">
        <v>27812990002</v>
      </c>
      <c r="G14" s="1" t="s">
        <v>215</v>
      </c>
      <c r="H14" s="8">
        <v>501</v>
      </c>
      <c r="I14" s="8">
        <v>5001</v>
      </c>
    </row>
  </sheetData>
  <sheetProtection algorithmName="SHA-512" hashValue="uBiXHMsfdCbuUy13PC2IHqVnNfoZtf1aknpuwtCqElEox+iqm8m6Uvp8UzwbkMGcTLoMcH1BjReUZ+zeEeNcPA==" saltValue="zU+v6BQaMKByXtXBytovfg==" spinCount="100000" sheet="1" objects="1" scenarios="1"/>
  <mergeCells count="1">
    <mergeCell ref="B2:I2"/>
  </mergeCells>
  <hyperlinks>
    <hyperlink ref="E4" r:id="rId1" xr:uid="{BE42CBDE-C016-418F-963B-77213F876A3E}"/>
    <hyperlink ref="E5" r:id="rId2" xr:uid="{34823AFB-7978-4388-BFBE-4F16DBE7AAD7}"/>
    <hyperlink ref="E6" r:id="rId3" xr:uid="{6E94B6D5-030B-4D74-916D-D493A4E5F014}"/>
    <hyperlink ref="E7" r:id="rId4" xr:uid="{DC28ED8D-2297-4162-AAE0-80DBF6D41F2B}"/>
    <hyperlink ref="E8" r:id="rId5" xr:uid="{3794C79A-B62C-479A-952A-4E4ACAF118BC}"/>
    <hyperlink ref="E9" r:id="rId6" xr:uid="{38F4C4F2-EDC2-4EA6-A775-3898089EE8E9}"/>
    <hyperlink ref="E10" r:id="rId7" xr:uid="{9FDB945D-8242-466B-A686-A3303E87AAC6}"/>
    <hyperlink ref="E11" r:id="rId8" xr:uid="{8A37D812-644B-4CC6-AE8B-AD949EBEBBA1}"/>
    <hyperlink ref="E12" r:id="rId9" xr:uid="{B9A27CD4-5A0B-4601-85DD-9B84D55D9A3F}"/>
    <hyperlink ref="E13" r:id="rId10" xr:uid="{5E9503CB-D14B-4ED3-9F37-32DA2400209F}"/>
    <hyperlink ref="E14" r:id="rId11" xr:uid="{11F2D5A4-3672-4ACF-99CE-ED3D6789FE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422E-63BB-4995-BFF1-16A73B371E69}">
  <dimension ref="C3:P20"/>
  <sheetViews>
    <sheetView topLeftCell="E1" zoomScale="85" zoomScaleNormal="85" workbookViewId="0">
      <selection activeCell="F24" sqref="F24"/>
    </sheetView>
  </sheetViews>
  <sheetFormatPr defaultRowHeight="15" x14ac:dyDescent="0.25"/>
  <cols>
    <col min="3" max="3" width="18" customWidth="1"/>
    <col min="4" max="4" width="17" customWidth="1"/>
    <col min="5" max="5" width="17.140625" customWidth="1"/>
    <col min="6" max="6" width="23.5703125" customWidth="1"/>
    <col min="7" max="7" width="17.28515625" customWidth="1"/>
    <col min="8" max="8" width="17" customWidth="1"/>
    <col min="9" max="9" width="22.5703125" customWidth="1"/>
    <col min="10" max="10" width="25" customWidth="1"/>
    <col min="11" max="11" width="13" customWidth="1"/>
    <col min="13" max="13" width="18.7109375" customWidth="1"/>
    <col min="15" max="15" width="16.42578125" customWidth="1"/>
    <col min="16" max="16" width="11.7109375" customWidth="1"/>
  </cols>
  <sheetData>
    <row r="3" spans="3:16" x14ac:dyDescent="0.25">
      <c r="C3" s="32" t="s">
        <v>9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4"/>
    </row>
    <row r="4" spans="3:16" x14ac:dyDescent="0.25">
      <c r="C4" s="9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8" t="s">
        <v>2</v>
      </c>
      <c r="O4" s="8" t="s">
        <v>6</v>
      </c>
      <c r="P4" s="1" t="s">
        <v>21</v>
      </c>
    </row>
    <row r="5" spans="3:16" x14ac:dyDescent="0.25">
      <c r="C5" s="9">
        <v>40939170</v>
      </c>
      <c r="D5" s="1" t="s">
        <v>98</v>
      </c>
      <c r="E5" s="1" t="s">
        <v>99</v>
      </c>
      <c r="F5" s="18" t="s">
        <v>110</v>
      </c>
      <c r="G5" s="1" t="str">
        <f ca="1">"27"&amp;RANDBETWEEN(100000000,999999999)</f>
        <v>27842473166</v>
      </c>
      <c r="H5" s="11">
        <f t="shared" ref="H5:H20" ca="1" si="0">DATE(RANDBETWEEN(2000,2003),RANDBETWEEN(1,12),RANDBETWEEN(1,31))</f>
        <v>36868</v>
      </c>
      <c r="I5" s="11" t="str">
        <f ca="1">TEXT(H5,"yymmdd")&amp;RANDBETWEEN(1000000,9999999)</f>
        <v>0012086339127</v>
      </c>
      <c r="J5" s="1" t="s">
        <v>143</v>
      </c>
      <c r="K5" s="1">
        <v>3</v>
      </c>
      <c r="L5" s="1" t="str">
        <f ca="1">CHOOSE(RANDBETWEEN(1,2),"Y","N")</f>
        <v>N</v>
      </c>
      <c r="M5" s="13">
        <f ca="1">RANDBETWEEN(DATE(2026,1,19),DATE(2026,3,30))</f>
        <v>46101</v>
      </c>
      <c r="N5" s="8">
        <v>1001</v>
      </c>
      <c r="O5" s="8">
        <v>102</v>
      </c>
      <c r="P5" s="1" t="str">
        <f ca="1">CHOOSE(RANDBETWEEN(1,2),"Y","N")</f>
        <v>Y</v>
      </c>
    </row>
    <row r="6" spans="3:16" x14ac:dyDescent="0.25">
      <c r="C6" s="9">
        <v>43056717</v>
      </c>
      <c r="D6" s="1" t="s">
        <v>312</v>
      </c>
      <c r="E6" s="1" t="s">
        <v>100</v>
      </c>
      <c r="F6" s="18" t="s">
        <v>109</v>
      </c>
      <c r="G6" s="1" t="str">
        <f t="shared" ref="G6:G20" ca="1" si="1">"27"&amp;RANDBETWEEN(100000000,999999999)</f>
        <v>27809916617</v>
      </c>
      <c r="H6" s="11">
        <f t="shared" ca="1" si="0"/>
        <v>37145</v>
      </c>
      <c r="I6" s="11" t="str">
        <f t="shared" ref="I6:I20" ca="1" si="2">TEXT(H6,"yymmdd")&amp;RANDBETWEEN(1000000,9999999)</f>
        <v>0109115695045</v>
      </c>
      <c r="J6" s="1" t="s">
        <v>202</v>
      </c>
      <c r="K6" s="1">
        <v>4</v>
      </c>
      <c r="L6" s="1" t="str">
        <f t="shared" ref="L6:L20" ca="1" si="3">CHOOSE(RANDBETWEEN(1,2),"Y","N")</f>
        <v>N</v>
      </c>
      <c r="M6" s="13">
        <f ca="1">RANDBETWEEN(DATE(2026,1,19),DATE(2026,3,30))</f>
        <v>46097</v>
      </c>
      <c r="N6" s="8">
        <v>1003</v>
      </c>
      <c r="O6" s="8">
        <v>301</v>
      </c>
      <c r="P6" s="1" t="str">
        <f t="shared" ref="P6:P20" ca="1" si="4">CHOOSE(RANDBETWEEN(1,2),"Y","N")</f>
        <v>Y</v>
      </c>
    </row>
    <row r="7" spans="3:16" x14ac:dyDescent="0.25">
      <c r="C7" s="9">
        <v>44839197</v>
      </c>
      <c r="D7" s="1" t="s">
        <v>101</v>
      </c>
      <c r="E7" s="1" t="s">
        <v>102</v>
      </c>
      <c r="F7" s="10" t="s">
        <v>103</v>
      </c>
      <c r="G7" s="1" t="str">
        <f t="shared" ca="1" si="1"/>
        <v>27192368629</v>
      </c>
      <c r="H7" s="11">
        <f t="shared" ca="1" si="0"/>
        <v>37200</v>
      </c>
      <c r="I7" s="11" t="str">
        <f t="shared" ca="1" si="2"/>
        <v>0111056074136</v>
      </c>
      <c r="J7" s="1" t="s">
        <v>203</v>
      </c>
      <c r="K7" s="1">
        <v>4</v>
      </c>
      <c r="L7" s="1" t="str">
        <f t="shared" ca="1" si="3"/>
        <v>N</v>
      </c>
      <c r="M7" s="13">
        <f t="shared" ref="M7:M20" ca="1" si="5">RANDBETWEEN(DATE(2026,1,19),DATE(2026,3,30))</f>
        <v>46109</v>
      </c>
      <c r="N7" s="8">
        <v>1002</v>
      </c>
      <c r="O7" s="8">
        <v>201</v>
      </c>
      <c r="P7" s="1" t="str">
        <f t="shared" ca="1" si="4"/>
        <v>Y</v>
      </c>
    </row>
    <row r="8" spans="3:16" x14ac:dyDescent="0.25">
      <c r="C8" s="9">
        <v>45154597</v>
      </c>
      <c r="D8" s="1" t="s">
        <v>111</v>
      </c>
      <c r="E8" s="1" t="s">
        <v>112</v>
      </c>
      <c r="F8" s="10" t="s">
        <v>104</v>
      </c>
      <c r="G8" s="1" t="str">
        <f t="shared" ca="1" si="1"/>
        <v>27998538520</v>
      </c>
      <c r="H8" s="11">
        <f t="shared" ca="1" si="0"/>
        <v>36785</v>
      </c>
      <c r="I8" s="11" t="str">
        <f t="shared" ca="1" si="2"/>
        <v>0009167782780</v>
      </c>
      <c r="J8" s="1" t="s">
        <v>200</v>
      </c>
      <c r="K8" s="1">
        <v>3</v>
      </c>
      <c r="L8" s="1" t="str">
        <f t="shared" ca="1" si="3"/>
        <v>N</v>
      </c>
      <c r="M8" s="13">
        <f t="shared" ca="1" si="5"/>
        <v>46078</v>
      </c>
      <c r="N8" s="8">
        <v>1005</v>
      </c>
      <c r="O8" s="8">
        <v>501</v>
      </c>
      <c r="P8" s="1" t="str">
        <f t="shared" ca="1" si="4"/>
        <v>Y</v>
      </c>
    </row>
    <row r="9" spans="3:16" x14ac:dyDescent="0.25">
      <c r="C9" s="9">
        <v>45229090</v>
      </c>
      <c r="D9" s="1" t="s">
        <v>113</v>
      </c>
      <c r="E9" s="1" t="s">
        <v>114</v>
      </c>
      <c r="F9" s="10" t="s">
        <v>105</v>
      </c>
      <c r="G9" s="1" t="str">
        <f t="shared" ca="1" si="1"/>
        <v>27216385207</v>
      </c>
      <c r="H9" s="11">
        <f t="shared" ca="1" si="0"/>
        <v>37058</v>
      </c>
      <c r="I9" s="11" t="str">
        <f t="shared" ca="1" si="2"/>
        <v>0106169835735</v>
      </c>
      <c r="J9" s="1" t="s">
        <v>205</v>
      </c>
      <c r="K9" s="1">
        <v>4</v>
      </c>
      <c r="L9" s="1" t="str">
        <f t="shared" ca="1" si="3"/>
        <v>Y</v>
      </c>
      <c r="M9" s="13">
        <f t="shared" ca="1" si="5"/>
        <v>46085</v>
      </c>
      <c r="N9" s="8">
        <v>1001</v>
      </c>
      <c r="O9" s="8">
        <v>101</v>
      </c>
      <c r="P9" s="1" t="str">
        <f t="shared" ca="1" si="4"/>
        <v>N</v>
      </c>
    </row>
    <row r="10" spans="3:16" x14ac:dyDescent="0.25">
      <c r="C10" s="9">
        <v>52442179</v>
      </c>
      <c r="D10" s="1" t="s">
        <v>115</v>
      </c>
      <c r="E10" s="1" t="s">
        <v>116</v>
      </c>
      <c r="F10" s="10" t="s">
        <v>106</v>
      </c>
      <c r="G10" s="1" t="str">
        <f t="shared" ca="1" si="1"/>
        <v>27736445768</v>
      </c>
      <c r="H10" s="11">
        <f t="shared" ca="1" si="0"/>
        <v>36837</v>
      </c>
      <c r="I10" s="11" t="str">
        <f t="shared" ca="1" si="2"/>
        <v>0011074252498</v>
      </c>
      <c r="J10" s="1" t="s">
        <v>204</v>
      </c>
      <c r="K10" s="1">
        <v>3</v>
      </c>
      <c r="L10" s="1" t="str">
        <f t="shared" ca="1" si="3"/>
        <v>Y</v>
      </c>
      <c r="M10" s="13">
        <f t="shared" ca="1" si="5"/>
        <v>46062</v>
      </c>
      <c r="N10" s="8">
        <v>1004</v>
      </c>
      <c r="O10" s="8">
        <v>401</v>
      </c>
      <c r="P10" s="1" t="str">
        <f t="shared" ca="1" si="4"/>
        <v>Y</v>
      </c>
    </row>
    <row r="11" spans="3:16" x14ac:dyDescent="0.25">
      <c r="C11" s="9">
        <v>46499458</v>
      </c>
      <c r="D11" s="1" t="s">
        <v>117</v>
      </c>
      <c r="E11" s="1" t="s">
        <v>118</v>
      </c>
      <c r="F11" s="10" t="s">
        <v>107</v>
      </c>
      <c r="G11" s="1" t="str">
        <f t="shared" ca="1" si="1"/>
        <v>27717736771</v>
      </c>
      <c r="H11" s="11">
        <f t="shared" ca="1" si="0"/>
        <v>37915</v>
      </c>
      <c r="I11" s="11" t="str">
        <f t="shared" ca="1" si="2"/>
        <v>0310212654362</v>
      </c>
      <c r="J11" s="1" t="s">
        <v>201</v>
      </c>
      <c r="K11" s="1">
        <v>3</v>
      </c>
      <c r="L11" s="1" t="str">
        <f t="shared" ca="1" si="3"/>
        <v>N</v>
      </c>
      <c r="M11" s="13">
        <f t="shared" ca="1" si="5"/>
        <v>46109</v>
      </c>
      <c r="N11" s="8">
        <v>1005</v>
      </c>
      <c r="O11" s="8">
        <v>502</v>
      </c>
      <c r="P11" s="1" t="str">
        <f t="shared" ca="1" si="4"/>
        <v>N</v>
      </c>
    </row>
    <row r="12" spans="3:16" x14ac:dyDescent="0.25">
      <c r="C12" s="9">
        <v>43771920</v>
      </c>
      <c r="D12" s="1" t="s">
        <v>119</v>
      </c>
      <c r="E12" s="1" t="s">
        <v>120</v>
      </c>
      <c r="F12" s="10" t="s">
        <v>108</v>
      </c>
      <c r="G12" s="1" t="str">
        <f t="shared" ca="1" si="1"/>
        <v>27446412640</v>
      </c>
      <c r="H12" s="11">
        <f t="shared" ca="1" si="0"/>
        <v>37005</v>
      </c>
      <c r="I12" s="11" t="str">
        <f t="shared" ca="1" si="2"/>
        <v>0104246796619</v>
      </c>
      <c r="J12" s="1" t="s">
        <v>200</v>
      </c>
      <c r="K12" s="1">
        <v>4</v>
      </c>
      <c r="L12" s="1" t="str">
        <f t="shared" ca="1" si="3"/>
        <v>Y</v>
      </c>
      <c r="M12" s="13">
        <f t="shared" ca="1" si="5"/>
        <v>46077</v>
      </c>
      <c r="N12" s="8">
        <v>1005</v>
      </c>
      <c r="O12" s="8">
        <v>501</v>
      </c>
      <c r="P12" s="1" t="str">
        <f t="shared" ca="1" si="4"/>
        <v>N</v>
      </c>
    </row>
    <row r="13" spans="3:16" x14ac:dyDescent="0.25">
      <c r="C13" s="9">
        <v>38221045</v>
      </c>
      <c r="D13" s="1" t="s">
        <v>121</v>
      </c>
      <c r="E13" s="1" t="s">
        <v>126</v>
      </c>
      <c r="F13" s="10" t="s">
        <v>134</v>
      </c>
      <c r="G13" s="1" t="str">
        <f t="shared" ca="1" si="1"/>
        <v>27689034364</v>
      </c>
      <c r="H13" s="11">
        <f t="shared" ca="1" si="0"/>
        <v>37103</v>
      </c>
      <c r="I13" s="11" t="str">
        <f t="shared" ca="1" si="2"/>
        <v>0107311078406</v>
      </c>
      <c r="J13" s="1" t="s">
        <v>142</v>
      </c>
      <c r="K13" s="1">
        <v>5</v>
      </c>
      <c r="L13" s="1" t="str">
        <f t="shared" ca="1" si="3"/>
        <v>Y</v>
      </c>
      <c r="M13" s="13">
        <f t="shared" ca="1" si="5"/>
        <v>46048</v>
      </c>
      <c r="N13" s="8">
        <v>1002</v>
      </c>
      <c r="O13" s="8">
        <v>202</v>
      </c>
      <c r="P13" s="1" t="str">
        <f t="shared" ca="1" si="4"/>
        <v>N</v>
      </c>
    </row>
    <row r="14" spans="3:16" x14ac:dyDescent="0.25">
      <c r="C14" s="9">
        <v>39112001</v>
      </c>
      <c r="D14" s="1" t="s">
        <v>122</v>
      </c>
      <c r="E14" s="1" t="s">
        <v>127</v>
      </c>
      <c r="F14" s="10" t="s">
        <v>135</v>
      </c>
      <c r="G14" s="1" t="str">
        <f t="shared" ca="1" si="1"/>
        <v>27993963061</v>
      </c>
      <c r="H14" s="11">
        <f t="shared" ca="1" si="0"/>
        <v>37581</v>
      </c>
      <c r="I14" s="11" t="str">
        <f t="shared" ca="1" si="2"/>
        <v>0211216044034</v>
      </c>
      <c r="J14" s="1" t="s">
        <v>143</v>
      </c>
      <c r="K14" s="1">
        <v>6</v>
      </c>
      <c r="L14" s="1" t="str">
        <f t="shared" ca="1" si="3"/>
        <v>N</v>
      </c>
      <c r="M14" s="13">
        <f t="shared" ca="1" si="5"/>
        <v>46062</v>
      </c>
      <c r="N14" s="8">
        <v>1001</v>
      </c>
      <c r="O14" s="8">
        <v>102</v>
      </c>
      <c r="P14" s="1" t="str">
        <f t="shared" ca="1" si="4"/>
        <v>Y</v>
      </c>
    </row>
    <row r="15" spans="3:16" x14ac:dyDescent="0.25">
      <c r="C15" s="9">
        <v>41123756</v>
      </c>
      <c r="D15" s="1" t="s">
        <v>91</v>
      </c>
      <c r="E15" s="1" t="s">
        <v>128</v>
      </c>
      <c r="F15" s="10" t="s">
        <v>136</v>
      </c>
      <c r="G15" s="1" t="str">
        <f t="shared" ca="1" si="1"/>
        <v>27836969854</v>
      </c>
      <c r="H15" s="11">
        <f t="shared" ca="1" si="0"/>
        <v>37117</v>
      </c>
      <c r="I15" s="11" t="str">
        <f t="shared" ca="1" si="2"/>
        <v>0108149634074</v>
      </c>
      <c r="J15" s="1" t="s">
        <v>144</v>
      </c>
      <c r="K15" s="1">
        <v>3</v>
      </c>
      <c r="L15" s="1" t="str">
        <f t="shared" ca="1" si="3"/>
        <v>N</v>
      </c>
      <c r="M15" s="13">
        <f t="shared" ca="1" si="5"/>
        <v>46099</v>
      </c>
      <c r="N15" s="8">
        <v>1001</v>
      </c>
      <c r="O15" s="8">
        <v>103</v>
      </c>
      <c r="P15" s="1" t="str">
        <f t="shared" ca="1" si="4"/>
        <v>Y</v>
      </c>
    </row>
    <row r="16" spans="3:16" x14ac:dyDescent="0.25">
      <c r="C16" s="9">
        <v>48425677</v>
      </c>
      <c r="D16" s="1" t="s">
        <v>123</v>
      </c>
      <c r="E16" s="1" t="s">
        <v>129</v>
      </c>
      <c r="F16" s="10" t="s">
        <v>137</v>
      </c>
      <c r="G16" s="1" t="str">
        <f t="shared" ca="1" si="1"/>
        <v>27118491532</v>
      </c>
      <c r="H16" s="11">
        <f t="shared" ca="1" si="0"/>
        <v>36544</v>
      </c>
      <c r="I16" s="11" t="str">
        <f t="shared" ca="1" si="2"/>
        <v>0001192695403</v>
      </c>
      <c r="J16" s="1" t="s">
        <v>205</v>
      </c>
      <c r="K16" s="1">
        <v>1</v>
      </c>
      <c r="L16" s="1" t="str">
        <f t="shared" ca="1" si="3"/>
        <v>Y</v>
      </c>
      <c r="M16" s="13">
        <f t="shared" ca="1" si="5"/>
        <v>46045</v>
      </c>
      <c r="N16" s="8">
        <v>1002</v>
      </c>
      <c r="O16" s="8">
        <v>101</v>
      </c>
      <c r="P16" s="1" t="str">
        <f t="shared" ca="1" si="4"/>
        <v>N</v>
      </c>
    </row>
    <row r="17" spans="3:16" x14ac:dyDescent="0.25">
      <c r="C17" s="9">
        <v>37425974</v>
      </c>
      <c r="D17" s="1" t="s">
        <v>124</v>
      </c>
      <c r="E17" s="1" t="s">
        <v>130</v>
      </c>
      <c r="F17" s="10" t="s">
        <v>138</v>
      </c>
      <c r="G17" s="1" t="str">
        <f t="shared" ca="1" si="1"/>
        <v>27519485817</v>
      </c>
      <c r="H17" s="11">
        <f t="shared" ca="1" si="0"/>
        <v>37004</v>
      </c>
      <c r="I17" s="11" t="str">
        <f t="shared" ca="1" si="2"/>
        <v>0104235060364</v>
      </c>
      <c r="J17" s="1" t="s">
        <v>142</v>
      </c>
      <c r="K17" s="1">
        <v>5</v>
      </c>
      <c r="L17" s="1" t="str">
        <f t="shared" ca="1" si="3"/>
        <v>Y</v>
      </c>
      <c r="M17" s="13">
        <f t="shared" ca="1" si="5"/>
        <v>46084</v>
      </c>
      <c r="N17" s="8">
        <v>1002</v>
      </c>
      <c r="O17" s="8">
        <v>202</v>
      </c>
      <c r="P17" s="1" t="str">
        <f t="shared" ca="1" si="4"/>
        <v>Y</v>
      </c>
    </row>
    <row r="18" spans="3:16" x14ac:dyDescent="0.25">
      <c r="C18" s="9">
        <v>44869874</v>
      </c>
      <c r="D18" s="1" t="s">
        <v>117</v>
      </c>
      <c r="E18" s="1" t="s">
        <v>131</v>
      </c>
      <c r="F18" s="10" t="s">
        <v>139</v>
      </c>
      <c r="G18" s="1" t="str">
        <f t="shared" ca="1" si="1"/>
        <v>27789433345</v>
      </c>
      <c r="H18" s="11">
        <f t="shared" ca="1" si="0"/>
        <v>37082</v>
      </c>
      <c r="I18" s="11" t="str">
        <f t="shared" ca="1" si="2"/>
        <v>0107107319738</v>
      </c>
      <c r="J18" s="1" t="s">
        <v>144</v>
      </c>
      <c r="K18" s="1">
        <v>2</v>
      </c>
      <c r="L18" s="1" t="str">
        <f t="shared" ca="1" si="3"/>
        <v>Y</v>
      </c>
      <c r="M18" s="13">
        <f t="shared" ca="1" si="5"/>
        <v>46105</v>
      </c>
      <c r="N18" s="8">
        <v>1001</v>
      </c>
      <c r="O18" s="8">
        <v>103</v>
      </c>
      <c r="P18" s="1" t="str">
        <f t="shared" ca="1" si="4"/>
        <v>N</v>
      </c>
    </row>
    <row r="19" spans="3:16" x14ac:dyDescent="0.25">
      <c r="C19" s="9">
        <v>39456919</v>
      </c>
      <c r="D19" s="1" t="s">
        <v>101</v>
      </c>
      <c r="E19" s="1" t="s">
        <v>132</v>
      </c>
      <c r="F19" s="10" t="s">
        <v>140</v>
      </c>
      <c r="G19" s="1" t="str">
        <f t="shared" ca="1" si="1"/>
        <v>27477498694</v>
      </c>
      <c r="H19" s="11">
        <f t="shared" ca="1" si="0"/>
        <v>36854</v>
      </c>
      <c r="I19" s="11" t="str">
        <f t="shared" ca="1" si="2"/>
        <v>0011241371181</v>
      </c>
      <c r="J19" s="1" t="s">
        <v>203</v>
      </c>
      <c r="K19" s="1">
        <v>5</v>
      </c>
      <c r="L19" s="1" t="str">
        <f t="shared" ca="1" si="3"/>
        <v>N</v>
      </c>
      <c r="M19" s="13">
        <f t="shared" ca="1" si="5"/>
        <v>46092</v>
      </c>
      <c r="N19" s="8">
        <v>1002</v>
      </c>
      <c r="O19" s="8">
        <v>201</v>
      </c>
      <c r="P19" s="1" t="str">
        <f t="shared" ca="1" si="4"/>
        <v>Y</v>
      </c>
    </row>
    <row r="20" spans="3:16" x14ac:dyDescent="0.25">
      <c r="C20" s="9">
        <v>40045601</v>
      </c>
      <c r="D20" s="1" t="s">
        <v>125</v>
      </c>
      <c r="E20" s="1" t="s">
        <v>133</v>
      </c>
      <c r="F20" s="10" t="s">
        <v>141</v>
      </c>
      <c r="G20" s="1" t="str">
        <f t="shared" ca="1" si="1"/>
        <v>27795350443</v>
      </c>
      <c r="H20" s="11">
        <f t="shared" ca="1" si="0"/>
        <v>36721</v>
      </c>
      <c r="I20" s="11" t="str">
        <f t="shared" ca="1" si="2"/>
        <v>0007144437253</v>
      </c>
      <c r="J20" s="1" t="s">
        <v>142</v>
      </c>
      <c r="K20" s="1">
        <v>4</v>
      </c>
      <c r="L20" s="1" t="str">
        <f t="shared" ca="1" si="3"/>
        <v>N</v>
      </c>
      <c r="M20" s="13">
        <f t="shared" ca="1" si="5"/>
        <v>46093</v>
      </c>
      <c r="N20" s="8">
        <v>1002</v>
      </c>
      <c r="O20" s="8">
        <v>202</v>
      </c>
      <c r="P20" s="1" t="str">
        <f t="shared" ca="1" si="4"/>
        <v>N</v>
      </c>
    </row>
  </sheetData>
  <sheetProtection algorithmName="SHA-512" hashValue="3U3ZWxCYR1ZjBZP0k62w9txuZha6Wcge2QcK+6da4OTqkmdDLBeqy1Oya1GPNixUXWY5Ctu7aDKNfVeo76PcZQ==" saltValue="6NeBZrss3CqomYs8gUBKiA==" spinCount="100000" sheet="1" objects="1" scenarios="1"/>
  <mergeCells count="1">
    <mergeCell ref="C3:P3"/>
  </mergeCells>
  <hyperlinks>
    <hyperlink ref="F5" r:id="rId1" xr:uid="{E21A608E-9EF1-4509-9A30-0D2993F432B6}"/>
    <hyperlink ref="F7" r:id="rId2" xr:uid="{2F9265F1-DE58-4765-9F06-5B9C70BD34FC}"/>
    <hyperlink ref="F6" r:id="rId3" xr:uid="{05088A9A-EF49-45AC-985E-08B829AEFA9A}"/>
    <hyperlink ref="F8" r:id="rId4" xr:uid="{AD709E51-DF3F-42AA-AA6A-8D5231D53964}"/>
    <hyperlink ref="F9" r:id="rId5" xr:uid="{B705F1E7-CF59-4839-9F4A-1E129E170097}"/>
    <hyperlink ref="F10" r:id="rId6" xr:uid="{FA6DB6DE-ECF4-411D-8F77-DDD03C3A309D}"/>
    <hyperlink ref="F11" r:id="rId7" xr:uid="{46C0D6A1-175D-4D84-AD35-432C60C04103}"/>
    <hyperlink ref="F12" r:id="rId8" xr:uid="{F8C32E5D-F7E2-4DF2-AC24-037EE36E56C0}"/>
    <hyperlink ref="F13" r:id="rId9" xr:uid="{C111A094-FB04-454A-8F9B-A4A6A0DA8222}"/>
    <hyperlink ref="F14" r:id="rId10" xr:uid="{15ED7C2D-69D4-4499-A113-9D34462FD4D9}"/>
    <hyperlink ref="F15" r:id="rId11" xr:uid="{3BCE0CAD-5939-48F8-A736-578E0CFD69A1}"/>
    <hyperlink ref="F16" r:id="rId12" xr:uid="{17DFD412-49FB-4940-BCAA-ECC03BE466B5}"/>
    <hyperlink ref="F17" r:id="rId13" xr:uid="{A0D740DB-3ABE-46F5-A3D8-180CEC14F6CB}"/>
    <hyperlink ref="F18" r:id="rId14" xr:uid="{A6ABCDED-7C01-4E03-8330-2C80FA120E2D}"/>
    <hyperlink ref="F19" r:id="rId15" xr:uid="{304A2782-DFDC-4957-8963-B45695DF2DF5}"/>
    <hyperlink ref="F20" r:id="rId16" xr:uid="{79DDC327-52B3-47ED-B976-8117F48E383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82E5-FFC5-48DB-B9A0-4695BFF24F04}">
  <dimension ref="A1:J55"/>
  <sheetViews>
    <sheetView topLeftCell="A25" zoomScale="70" zoomScaleNormal="70" workbookViewId="0">
      <selection activeCell="B9" sqref="B9"/>
    </sheetView>
  </sheetViews>
  <sheetFormatPr defaultRowHeight="15" x14ac:dyDescent="0.25"/>
  <cols>
    <col min="1" max="1" width="14.85546875" customWidth="1"/>
    <col min="2" max="2" width="35.85546875" customWidth="1"/>
    <col min="3" max="3" width="15.5703125" customWidth="1"/>
    <col min="4" max="4" width="16.140625" customWidth="1"/>
    <col min="5" max="5" width="21.28515625" customWidth="1"/>
    <col min="6" max="6" width="36" customWidth="1"/>
    <col min="7" max="7" width="14.42578125" customWidth="1"/>
    <col min="8" max="8" width="18.42578125" customWidth="1"/>
    <col min="9" max="9" width="13.85546875" customWidth="1"/>
    <col min="10" max="10" width="14" customWidth="1"/>
  </cols>
  <sheetData>
    <row r="1" spans="1:10" x14ac:dyDescent="0.25">
      <c r="A1" s="32" t="s">
        <v>25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x14ac:dyDescent="0.25">
      <c r="A2" s="9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161</v>
      </c>
      <c r="I2" s="8" t="s">
        <v>2</v>
      </c>
    </row>
    <row r="3" spans="1:10" x14ac:dyDescent="0.25">
      <c r="A3" s="14" t="s">
        <v>230</v>
      </c>
      <c r="B3" s="1" t="s">
        <v>175</v>
      </c>
      <c r="C3" s="1">
        <v>360</v>
      </c>
      <c r="D3" s="1">
        <f ca="1">RANDBETWEEN(100,180)</f>
        <v>115</v>
      </c>
      <c r="E3" s="1">
        <f ca="1">RANDBETWEEN(90,120)</f>
        <v>109</v>
      </c>
      <c r="F3" s="1">
        <v>1</v>
      </c>
      <c r="G3" s="1">
        <v>26</v>
      </c>
      <c r="H3" s="1">
        <f>C3</f>
        <v>360</v>
      </c>
      <c r="I3" s="8">
        <v>1001</v>
      </c>
    </row>
    <row r="4" spans="1:10" x14ac:dyDescent="0.25">
      <c r="A4" s="14" t="s">
        <v>229</v>
      </c>
      <c r="B4" s="1" t="s">
        <v>176</v>
      </c>
      <c r="C4" s="1">
        <v>360</v>
      </c>
      <c r="D4" s="1">
        <f t="shared" ref="D4:D10" ca="1" si="0">RANDBETWEEN(100,180)</f>
        <v>100</v>
      </c>
      <c r="E4" s="1">
        <f t="shared" ref="E4:E10" ca="1" si="1">RANDBETWEEN(90,120)</f>
        <v>100</v>
      </c>
      <c r="F4" s="1">
        <v>1</v>
      </c>
      <c r="G4" s="1">
        <v>26</v>
      </c>
      <c r="H4" s="1">
        <f t="shared" ref="H4:H10" si="2">C4</f>
        <v>360</v>
      </c>
      <c r="I4" s="8">
        <v>1001</v>
      </c>
    </row>
    <row r="5" spans="1:10" x14ac:dyDescent="0.25">
      <c r="A5" s="14" t="s">
        <v>231</v>
      </c>
      <c r="B5" s="1" t="s">
        <v>225</v>
      </c>
      <c r="C5" s="1">
        <v>360</v>
      </c>
      <c r="D5" s="1">
        <f t="shared" ca="1" si="0"/>
        <v>167</v>
      </c>
      <c r="E5" s="1">
        <f ca="1">RANDBETWEEN(100,120)</f>
        <v>107</v>
      </c>
      <c r="F5" s="1">
        <v>1</v>
      </c>
      <c r="G5" s="1">
        <v>24</v>
      </c>
      <c r="H5" s="1">
        <f t="shared" si="2"/>
        <v>360</v>
      </c>
      <c r="I5" s="8">
        <v>2001</v>
      </c>
    </row>
    <row r="6" spans="1:10" x14ac:dyDescent="0.25">
      <c r="A6" s="14" t="s">
        <v>227</v>
      </c>
      <c r="B6" s="1" t="s">
        <v>222</v>
      </c>
      <c r="C6" s="1">
        <v>480</v>
      </c>
      <c r="D6" s="1">
        <f t="shared" ca="1" si="0"/>
        <v>147</v>
      </c>
      <c r="E6" s="1">
        <f t="shared" ca="1" si="1"/>
        <v>103</v>
      </c>
      <c r="F6" s="1">
        <v>1</v>
      </c>
      <c r="G6" s="1">
        <v>26</v>
      </c>
      <c r="H6" s="1">
        <f t="shared" si="2"/>
        <v>480</v>
      </c>
      <c r="I6" s="8">
        <v>4001</v>
      </c>
    </row>
    <row r="7" spans="1:10" x14ac:dyDescent="0.25">
      <c r="A7" s="14" t="s">
        <v>232</v>
      </c>
      <c r="B7" s="1" t="s">
        <v>223</v>
      </c>
      <c r="C7" s="1">
        <v>360</v>
      </c>
      <c r="D7" s="1">
        <f t="shared" ca="1" si="0"/>
        <v>171</v>
      </c>
      <c r="E7" s="1">
        <f t="shared" ca="1" si="1"/>
        <v>94</v>
      </c>
      <c r="F7" s="1">
        <v>1</v>
      </c>
      <c r="G7" s="1">
        <v>24</v>
      </c>
      <c r="H7" s="1">
        <f t="shared" si="2"/>
        <v>360</v>
      </c>
      <c r="I7" s="8">
        <v>2001</v>
      </c>
    </row>
    <row r="8" spans="1:10" x14ac:dyDescent="0.25">
      <c r="A8" s="14" t="s">
        <v>233</v>
      </c>
      <c r="B8" s="1" t="s">
        <v>224</v>
      </c>
      <c r="C8" s="1">
        <v>576</v>
      </c>
      <c r="D8" s="1">
        <f t="shared" ca="1" si="0"/>
        <v>167</v>
      </c>
      <c r="E8" s="1">
        <f t="shared" ca="1" si="1"/>
        <v>112</v>
      </c>
      <c r="F8" s="1">
        <v>1</v>
      </c>
      <c r="G8" s="1">
        <v>34</v>
      </c>
      <c r="H8" s="1">
        <f t="shared" si="2"/>
        <v>576</v>
      </c>
      <c r="I8" s="8">
        <v>5001</v>
      </c>
    </row>
    <row r="9" spans="1:10" x14ac:dyDescent="0.25">
      <c r="A9" s="14" t="s">
        <v>234</v>
      </c>
      <c r="B9" s="1" t="s">
        <v>303</v>
      </c>
      <c r="C9" s="1">
        <v>576</v>
      </c>
      <c r="D9" s="1">
        <f t="shared" ca="1" si="0"/>
        <v>162</v>
      </c>
      <c r="E9" s="1">
        <f t="shared" ca="1" si="1"/>
        <v>114</v>
      </c>
      <c r="F9" s="1">
        <v>1</v>
      </c>
      <c r="G9" s="1">
        <v>34</v>
      </c>
      <c r="H9" s="1">
        <f t="shared" si="2"/>
        <v>576</v>
      </c>
      <c r="I9" s="8">
        <v>5001</v>
      </c>
    </row>
    <row r="10" spans="1:10" x14ac:dyDescent="0.25">
      <c r="A10" s="14" t="s">
        <v>226</v>
      </c>
      <c r="B10" s="1" t="s">
        <v>202</v>
      </c>
      <c r="C10" s="1">
        <v>360</v>
      </c>
      <c r="D10" s="1">
        <f t="shared" ca="1" si="0"/>
        <v>100</v>
      </c>
      <c r="E10" s="1">
        <f t="shared" ca="1" si="1"/>
        <v>107</v>
      </c>
      <c r="F10" s="1">
        <v>1</v>
      </c>
      <c r="G10" s="1">
        <v>24</v>
      </c>
      <c r="H10" s="1">
        <f t="shared" si="2"/>
        <v>360</v>
      </c>
      <c r="I10" s="8">
        <v>3001</v>
      </c>
    </row>
    <row r="12" spans="1:10" x14ac:dyDescent="0.25">
      <c r="A12" s="32" t="s">
        <v>264</v>
      </c>
      <c r="B12" s="33"/>
      <c r="C12" s="33"/>
      <c r="D12" s="33"/>
      <c r="E12" s="33"/>
      <c r="F12" s="33"/>
      <c r="G12" s="33"/>
      <c r="H12" s="34"/>
    </row>
    <row r="13" spans="1:10" x14ac:dyDescent="0.25">
      <c r="A13" s="21" t="s">
        <v>38</v>
      </c>
      <c r="B13" s="20" t="s">
        <v>39</v>
      </c>
      <c r="C13" s="20" t="s">
        <v>28</v>
      </c>
      <c r="D13" s="20" t="s">
        <v>40</v>
      </c>
      <c r="E13" s="20" t="s">
        <v>31</v>
      </c>
      <c r="F13" s="31" t="s">
        <v>26</v>
      </c>
      <c r="G13" s="31" t="s">
        <v>2</v>
      </c>
      <c r="H13" s="31" t="s">
        <v>23</v>
      </c>
    </row>
    <row r="14" spans="1:10" x14ac:dyDescent="0.25">
      <c r="A14" s="14" t="s">
        <v>147</v>
      </c>
      <c r="B14" s="1" t="s">
        <v>97</v>
      </c>
      <c r="C14" s="1">
        <v>16</v>
      </c>
      <c r="D14" s="1">
        <v>3</v>
      </c>
      <c r="E14" s="1">
        <v>1</v>
      </c>
      <c r="F14" s="26" t="s">
        <v>230</v>
      </c>
      <c r="G14" s="8">
        <v>1001</v>
      </c>
      <c r="H14" s="8">
        <v>3851008</v>
      </c>
    </row>
    <row r="15" spans="1:10" x14ac:dyDescent="0.25">
      <c r="A15" s="14" t="s">
        <v>148</v>
      </c>
      <c r="B15" s="1" t="s">
        <v>95</v>
      </c>
      <c r="C15" s="1">
        <v>12</v>
      </c>
      <c r="D15" s="1">
        <v>1</v>
      </c>
      <c r="E15" s="1">
        <v>1</v>
      </c>
      <c r="F15" s="26" t="s">
        <v>239</v>
      </c>
      <c r="G15" s="8">
        <v>1001</v>
      </c>
      <c r="H15" s="8">
        <v>3851004</v>
      </c>
    </row>
    <row r="16" spans="1:10" x14ac:dyDescent="0.25">
      <c r="A16" s="14" t="s">
        <v>149</v>
      </c>
      <c r="B16" s="1" t="s">
        <v>96</v>
      </c>
      <c r="C16" s="1">
        <v>16</v>
      </c>
      <c r="D16" s="1">
        <v>3</v>
      </c>
      <c r="E16" s="1">
        <v>1</v>
      </c>
      <c r="F16" s="26" t="s">
        <v>240</v>
      </c>
      <c r="G16" s="8">
        <v>1001</v>
      </c>
      <c r="H16" s="8">
        <v>3851007</v>
      </c>
    </row>
    <row r="17" spans="1:8" x14ac:dyDescent="0.25">
      <c r="A17" s="14" t="s">
        <v>150</v>
      </c>
      <c r="B17" s="1" t="s">
        <v>217</v>
      </c>
      <c r="C17" s="1">
        <v>16</v>
      </c>
      <c r="D17" s="1">
        <v>1</v>
      </c>
      <c r="E17" s="1">
        <v>1</v>
      </c>
      <c r="F17" s="26" t="s">
        <v>231</v>
      </c>
      <c r="G17" s="8">
        <v>2001</v>
      </c>
      <c r="H17" s="8">
        <v>3851003</v>
      </c>
    </row>
    <row r="18" spans="1:8" x14ac:dyDescent="0.25">
      <c r="A18" s="14" t="s">
        <v>151</v>
      </c>
      <c r="B18" s="1" t="s">
        <v>153</v>
      </c>
      <c r="C18" s="1">
        <v>12</v>
      </c>
      <c r="D18" s="1">
        <v>2</v>
      </c>
      <c r="E18" s="1">
        <v>2</v>
      </c>
      <c r="F18" s="26" t="s">
        <v>228</v>
      </c>
      <c r="G18" s="8">
        <v>2001</v>
      </c>
      <c r="H18" s="8">
        <v>3851006</v>
      </c>
    </row>
    <row r="19" spans="1:8" x14ac:dyDescent="0.25">
      <c r="A19" s="14" t="s">
        <v>152</v>
      </c>
      <c r="B19" s="1" t="s">
        <v>154</v>
      </c>
      <c r="C19" s="1">
        <v>8</v>
      </c>
      <c r="D19" s="1">
        <v>1</v>
      </c>
      <c r="E19" s="1">
        <v>1</v>
      </c>
      <c r="F19" s="26" t="s">
        <v>229</v>
      </c>
      <c r="G19" s="8">
        <v>1001</v>
      </c>
      <c r="H19" s="8">
        <v>3851005</v>
      </c>
    </row>
    <row r="20" spans="1:8" x14ac:dyDescent="0.25">
      <c r="A20" s="14" t="s">
        <v>157</v>
      </c>
      <c r="B20" s="1" t="s">
        <v>155</v>
      </c>
      <c r="C20" s="1">
        <v>12</v>
      </c>
      <c r="D20" s="1">
        <v>1</v>
      </c>
      <c r="E20" s="1">
        <v>2</v>
      </c>
      <c r="F20" s="26" t="s">
        <v>240</v>
      </c>
      <c r="G20" s="8">
        <v>1001</v>
      </c>
      <c r="H20" s="8">
        <v>3851004</v>
      </c>
    </row>
    <row r="21" spans="1:8" x14ac:dyDescent="0.25">
      <c r="A21" s="14" t="s">
        <v>156</v>
      </c>
      <c r="B21" s="1" t="s">
        <v>159</v>
      </c>
      <c r="C21" s="1">
        <v>12</v>
      </c>
      <c r="D21" s="1">
        <v>1</v>
      </c>
      <c r="E21" s="1">
        <v>1</v>
      </c>
      <c r="F21" s="26" t="s">
        <v>232</v>
      </c>
      <c r="G21" s="8">
        <v>2001</v>
      </c>
      <c r="H21" s="8">
        <v>3851009</v>
      </c>
    </row>
    <row r="22" spans="1:8" x14ac:dyDescent="0.25">
      <c r="A22" s="14" t="s">
        <v>218</v>
      </c>
      <c r="B22" s="1" t="s">
        <v>219</v>
      </c>
      <c r="C22" s="1">
        <v>12</v>
      </c>
      <c r="D22" s="1">
        <v>2</v>
      </c>
      <c r="E22" s="1">
        <v>1</v>
      </c>
      <c r="F22" s="26" t="s">
        <v>226</v>
      </c>
      <c r="G22" s="8">
        <v>3001</v>
      </c>
      <c r="H22" s="8">
        <v>3851002</v>
      </c>
    </row>
    <row r="23" spans="1:8" x14ac:dyDescent="0.25">
      <c r="A23" s="14" t="s">
        <v>220</v>
      </c>
      <c r="B23" s="1" t="s">
        <v>221</v>
      </c>
      <c r="C23" s="1">
        <v>12</v>
      </c>
      <c r="D23" s="1">
        <v>1</v>
      </c>
      <c r="E23" s="1">
        <v>1</v>
      </c>
      <c r="F23" s="26" t="s">
        <v>227</v>
      </c>
      <c r="G23" s="8">
        <v>4001</v>
      </c>
      <c r="H23" s="8">
        <v>3851001</v>
      </c>
    </row>
    <row r="24" spans="1:8" x14ac:dyDescent="0.25">
      <c r="A24" s="14" t="s">
        <v>158</v>
      </c>
      <c r="B24" s="1" t="s">
        <v>160</v>
      </c>
      <c r="C24" s="1">
        <v>12</v>
      </c>
      <c r="D24" s="1">
        <v>2</v>
      </c>
      <c r="E24" s="1">
        <v>2</v>
      </c>
      <c r="F24" s="26" t="s">
        <v>240</v>
      </c>
      <c r="G24" s="8">
        <v>1001</v>
      </c>
      <c r="H24" s="8">
        <v>3851007</v>
      </c>
    </row>
    <row r="25" spans="1:8" x14ac:dyDescent="0.25">
      <c r="A25" s="14" t="s">
        <v>237</v>
      </c>
      <c r="B25" s="1" t="s">
        <v>235</v>
      </c>
      <c r="C25" s="1">
        <v>16</v>
      </c>
      <c r="D25" s="1">
        <v>1</v>
      </c>
      <c r="E25" s="1">
        <v>2</v>
      </c>
      <c r="F25" s="26" t="s">
        <v>233</v>
      </c>
      <c r="G25" s="8">
        <v>5001</v>
      </c>
      <c r="H25" s="8">
        <v>3851010</v>
      </c>
    </row>
    <row r="26" spans="1:8" x14ac:dyDescent="0.25">
      <c r="A26" s="14" t="s">
        <v>238</v>
      </c>
      <c r="B26" s="1" t="s">
        <v>236</v>
      </c>
      <c r="C26" s="1">
        <v>16</v>
      </c>
      <c r="D26" s="1">
        <v>3</v>
      </c>
      <c r="E26" s="1">
        <v>1</v>
      </c>
      <c r="F26" s="26" t="s">
        <v>234</v>
      </c>
      <c r="G26" s="8">
        <v>5001</v>
      </c>
      <c r="H26" s="8">
        <v>3851011</v>
      </c>
    </row>
    <row r="28" spans="1:8" x14ac:dyDescent="0.25">
      <c r="A28" s="32" t="s">
        <v>33</v>
      </c>
      <c r="B28" s="33"/>
      <c r="C28" s="33"/>
      <c r="D28" s="34"/>
      <c r="F28" s="32" t="s">
        <v>55</v>
      </c>
      <c r="G28" s="34"/>
    </row>
    <row r="29" spans="1:8" x14ac:dyDescent="0.25">
      <c r="A29" s="9" t="s">
        <v>34</v>
      </c>
      <c r="B29" s="1" t="s">
        <v>35</v>
      </c>
      <c r="C29" s="1" t="s">
        <v>36</v>
      </c>
      <c r="D29" s="1" t="s">
        <v>37</v>
      </c>
      <c r="F29" s="8" t="s">
        <v>26</v>
      </c>
      <c r="G29" s="1" t="s">
        <v>56</v>
      </c>
    </row>
    <row r="30" spans="1:8" x14ac:dyDescent="0.25">
      <c r="A30" s="9" t="s">
        <v>276</v>
      </c>
      <c r="B30" s="1" t="s">
        <v>265</v>
      </c>
      <c r="C30" s="1" t="s">
        <v>267</v>
      </c>
      <c r="D30" s="1">
        <v>55</v>
      </c>
      <c r="F30" s="26" t="s">
        <v>230</v>
      </c>
      <c r="G30" s="1" t="s">
        <v>241</v>
      </c>
    </row>
    <row r="31" spans="1:8" x14ac:dyDescent="0.25">
      <c r="A31" s="9" t="s">
        <v>277</v>
      </c>
      <c r="B31" s="1" t="s">
        <v>265</v>
      </c>
      <c r="C31" s="1" t="s">
        <v>268</v>
      </c>
      <c r="D31" s="1">
        <v>120</v>
      </c>
      <c r="F31" s="26" t="s">
        <v>229</v>
      </c>
      <c r="G31" s="1" t="s">
        <v>242</v>
      </c>
    </row>
    <row r="32" spans="1:8" x14ac:dyDescent="0.25">
      <c r="A32" s="9" t="s">
        <v>278</v>
      </c>
      <c r="B32" s="1" t="s">
        <v>265</v>
      </c>
      <c r="C32" s="1" t="s">
        <v>269</v>
      </c>
      <c r="D32" s="1">
        <v>235</v>
      </c>
      <c r="F32" s="26" t="s">
        <v>231</v>
      </c>
      <c r="G32" s="1" t="s">
        <v>243</v>
      </c>
    </row>
    <row r="33" spans="1:7" x14ac:dyDescent="0.25">
      <c r="A33" s="9" t="s">
        <v>279</v>
      </c>
      <c r="B33" s="1" t="s">
        <v>265</v>
      </c>
      <c r="C33" s="1" t="s">
        <v>270</v>
      </c>
      <c r="D33" s="1">
        <v>80</v>
      </c>
      <c r="F33" s="26" t="s">
        <v>227</v>
      </c>
      <c r="G33" s="1" t="s">
        <v>244</v>
      </c>
    </row>
    <row r="34" spans="1:7" x14ac:dyDescent="0.25">
      <c r="A34" s="9" t="s">
        <v>280</v>
      </c>
      <c r="B34" s="1" t="s">
        <v>266</v>
      </c>
      <c r="C34" s="1" t="s">
        <v>271</v>
      </c>
      <c r="D34" s="1">
        <v>263</v>
      </c>
      <c r="F34" s="26" t="s">
        <v>232</v>
      </c>
      <c r="G34" s="1" t="s">
        <v>245</v>
      </c>
    </row>
    <row r="35" spans="1:7" x14ac:dyDescent="0.25">
      <c r="A35" s="9" t="s">
        <v>281</v>
      </c>
      <c r="B35" s="1" t="s">
        <v>266</v>
      </c>
      <c r="C35" s="1" t="s">
        <v>272</v>
      </c>
      <c r="D35" s="1">
        <v>180</v>
      </c>
      <c r="F35" s="26" t="s">
        <v>233</v>
      </c>
      <c r="G35" s="1" t="s">
        <v>246</v>
      </c>
    </row>
    <row r="36" spans="1:7" x14ac:dyDescent="0.25">
      <c r="A36" s="9" t="s">
        <v>282</v>
      </c>
      <c r="B36" s="1" t="s">
        <v>266</v>
      </c>
      <c r="C36" s="1" t="s">
        <v>273</v>
      </c>
      <c r="D36" s="1">
        <v>250</v>
      </c>
      <c r="F36" s="26" t="s">
        <v>234</v>
      </c>
      <c r="G36" s="1" t="s">
        <v>247</v>
      </c>
    </row>
    <row r="37" spans="1:7" x14ac:dyDescent="0.25">
      <c r="A37" s="9" t="s">
        <v>283</v>
      </c>
      <c r="B37" s="1" t="s">
        <v>266</v>
      </c>
      <c r="C37" s="1" t="s">
        <v>274</v>
      </c>
      <c r="D37" s="1">
        <v>120</v>
      </c>
      <c r="F37" s="26" t="s">
        <v>226</v>
      </c>
      <c r="G37" s="1"/>
    </row>
    <row r="38" spans="1:7" x14ac:dyDescent="0.25">
      <c r="A38" s="9" t="s">
        <v>284</v>
      </c>
      <c r="B38" s="1" t="s">
        <v>266</v>
      </c>
      <c r="C38" s="1" t="s">
        <v>275</v>
      </c>
      <c r="D38" s="1">
        <v>135</v>
      </c>
    </row>
    <row r="41" spans="1:7" x14ac:dyDescent="0.25">
      <c r="A41" s="4" t="s">
        <v>41</v>
      </c>
      <c r="B41" s="7"/>
      <c r="C41" s="7"/>
      <c r="D41" s="7"/>
      <c r="E41" s="7"/>
      <c r="F41" s="5"/>
      <c r="G41" s="1"/>
    </row>
    <row r="42" spans="1:7" x14ac:dyDescent="0.25">
      <c r="A42" s="9" t="s">
        <v>42</v>
      </c>
      <c r="B42" s="1" t="s">
        <v>43</v>
      </c>
      <c r="C42" s="1" t="s">
        <v>44</v>
      </c>
      <c r="D42" s="1" t="s">
        <v>45</v>
      </c>
      <c r="E42" s="8" t="s">
        <v>26</v>
      </c>
      <c r="F42" s="1" t="s">
        <v>27</v>
      </c>
      <c r="G42" s="8" t="s">
        <v>34</v>
      </c>
    </row>
    <row r="43" spans="1:7" x14ac:dyDescent="0.25">
      <c r="A43" s="9">
        <v>8001</v>
      </c>
      <c r="B43" s="1" t="str">
        <f ca="1">CHOOSE(RANDBETWEEN(1,5),"Monday","Tuesdsy","Wednesday","Thursday","Friday")</f>
        <v>Friday</v>
      </c>
      <c r="C43" s="1" t="s">
        <v>285</v>
      </c>
      <c r="D43" s="1" t="s">
        <v>286</v>
      </c>
      <c r="E43" s="26" t="s">
        <v>230</v>
      </c>
      <c r="F43" s="1" t="s">
        <v>97</v>
      </c>
      <c r="G43" s="8" t="str" cm="1">
        <f t="array" aca="1" ref="G43" ca="1">INDEX(A30:A38,RANDBETWEEN(1,8))</f>
        <v>A5-H102</v>
      </c>
    </row>
    <row r="44" spans="1:7" x14ac:dyDescent="0.25">
      <c r="A44" s="9">
        <f>SUM(A43+1)</f>
        <v>8002</v>
      </c>
      <c r="B44" s="1" t="str">
        <f t="shared" ref="B44:B55" ca="1" si="3">CHOOSE(RANDBETWEEN(1,5),"Monday","Tuesdsy","Wednesday","Thursday","Friday")</f>
        <v>Tuesdsy</v>
      </c>
      <c r="C44" s="1" t="s">
        <v>287</v>
      </c>
      <c r="D44" s="1" t="s">
        <v>288</v>
      </c>
      <c r="E44" s="26" t="s">
        <v>239</v>
      </c>
      <c r="F44" s="1" t="s">
        <v>95</v>
      </c>
      <c r="G44" s="8" t="str" cm="1">
        <f t="array" aca="1" ref="G44" ca="1">INDEX(A31:A39,RANDBETWEEN(1,8))</f>
        <v>A10-H04</v>
      </c>
    </row>
    <row r="45" spans="1:7" x14ac:dyDescent="0.25">
      <c r="A45" s="9">
        <f t="shared" ref="A45:A55" si="4">SUM(A44+1)</f>
        <v>8003</v>
      </c>
      <c r="B45" s="1" t="str">
        <f t="shared" ca="1" si="3"/>
        <v>Friday</v>
      </c>
      <c r="C45" s="1" t="s">
        <v>289</v>
      </c>
      <c r="D45" s="1" t="s">
        <v>290</v>
      </c>
      <c r="E45" s="26" t="s">
        <v>240</v>
      </c>
      <c r="F45" s="1" t="s">
        <v>96</v>
      </c>
      <c r="G45" s="8" t="str">
        <f>A35</f>
        <v>A10-H02</v>
      </c>
    </row>
    <row r="46" spans="1:7" x14ac:dyDescent="0.25">
      <c r="A46" s="9">
        <f t="shared" si="4"/>
        <v>8004</v>
      </c>
      <c r="B46" s="1" t="str">
        <f t="shared" ca="1" si="3"/>
        <v>Wednesday</v>
      </c>
      <c r="C46" s="1" t="s">
        <v>287</v>
      </c>
      <c r="D46" s="1" t="s">
        <v>288</v>
      </c>
      <c r="E46" s="26" t="s">
        <v>231</v>
      </c>
      <c r="F46" s="1" t="s">
        <v>217</v>
      </c>
      <c r="G46" s="8" t="str">
        <f>A31</f>
        <v>A5-H102</v>
      </c>
    </row>
    <row r="47" spans="1:7" x14ac:dyDescent="0.25">
      <c r="A47" s="9">
        <f t="shared" si="4"/>
        <v>8005</v>
      </c>
      <c r="B47" s="1" t="str">
        <f t="shared" ca="1" si="3"/>
        <v>Monday</v>
      </c>
      <c r="C47" s="1" t="s">
        <v>291</v>
      </c>
      <c r="D47" s="1" t="s">
        <v>292</v>
      </c>
      <c r="E47" s="26" t="s">
        <v>228</v>
      </c>
      <c r="F47" s="1" t="s">
        <v>153</v>
      </c>
      <c r="G47" s="8" t="str">
        <f>A31</f>
        <v>A5-H102</v>
      </c>
    </row>
    <row r="48" spans="1:7" x14ac:dyDescent="0.25">
      <c r="A48" s="9">
        <f t="shared" si="4"/>
        <v>8006</v>
      </c>
      <c r="B48" s="1" t="str">
        <f t="shared" ca="1" si="3"/>
        <v>Monday</v>
      </c>
      <c r="C48" s="1" t="s">
        <v>285</v>
      </c>
      <c r="D48" s="1" t="s">
        <v>286</v>
      </c>
      <c r="E48" s="26" t="s">
        <v>229</v>
      </c>
      <c r="F48" s="1" t="s">
        <v>154</v>
      </c>
      <c r="G48" s="8" t="str">
        <f>A33</f>
        <v>A5-H104</v>
      </c>
    </row>
    <row r="49" spans="1:7" x14ac:dyDescent="0.25">
      <c r="A49" s="9">
        <f t="shared" si="4"/>
        <v>8007</v>
      </c>
      <c r="B49" s="1" t="str">
        <f t="shared" ca="1" si="3"/>
        <v>Friday</v>
      </c>
      <c r="C49" s="1" t="s">
        <v>285</v>
      </c>
      <c r="D49" s="1" t="s">
        <v>286</v>
      </c>
      <c r="E49" s="26" t="s">
        <v>240</v>
      </c>
      <c r="F49" s="1" t="s">
        <v>155</v>
      </c>
      <c r="G49" s="8" t="str">
        <f>A30</f>
        <v>A5-H101</v>
      </c>
    </row>
    <row r="50" spans="1:7" x14ac:dyDescent="0.25">
      <c r="A50" s="9">
        <f t="shared" si="4"/>
        <v>8008</v>
      </c>
      <c r="B50" s="1" t="str">
        <f t="shared" ca="1" si="3"/>
        <v>Tuesdsy</v>
      </c>
      <c r="C50" s="1" t="s">
        <v>293</v>
      </c>
      <c r="D50" s="1" t="s">
        <v>294</v>
      </c>
      <c r="E50" s="26" t="s">
        <v>232</v>
      </c>
      <c r="F50" s="1" t="s">
        <v>159</v>
      </c>
      <c r="G50" s="8" t="str">
        <f>A32</f>
        <v>A5-H103</v>
      </c>
    </row>
    <row r="51" spans="1:7" x14ac:dyDescent="0.25">
      <c r="A51" s="9">
        <f t="shared" si="4"/>
        <v>8009</v>
      </c>
      <c r="B51" s="1" t="str">
        <f t="shared" ca="1" si="3"/>
        <v>Friday</v>
      </c>
      <c r="C51" s="1" t="s">
        <v>291</v>
      </c>
      <c r="D51" s="1" t="s">
        <v>292</v>
      </c>
      <c r="E51" s="26" t="s">
        <v>226</v>
      </c>
      <c r="F51" s="1" t="s">
        <v>219</v>
      </c>
      <c r="G51" s="8" t="str">
        <f>A31</f>
        <v>A5-H102</v>
      </c>
    </row>
    <row r="52" spans="1:7" x14ac:dyDescent="0.25">
      <c r="A52" s="9">
        <f t="shared" si="4"/>
        <v>8010</v>
      </c>
      <c r="B52" s="1" t="str">
        <f t="shared" ca="1" si="3"/>
        <v>Friday</v>
      </c>
      <c r="C52" s="1" t="s">
        <v>289</v>
      </c>
      <c r="D52" s="1" t="s">
        <v>290</v>
      </c>
      <c r="E52" s="26" t="s">
        <v>227</v>
      </c>
      <c r="F52" s="1" t="s">
        <v>221</v>
      </c>
      <c r="G52" s="8" t="str">
        <f>A33</f>
        <v>A5-H104</v>
      </c>
    </row>
    <row r="53" spans="1:7" x14ac:dyDescent="0.25">
      <c r="A53" s="9">
        <f t="shared" si="4"/>
        <v>8011</v>
      </c>
      <c r="B53" s="1" t="str">
        <f t="shared" ca="1" si="3"/>
        <v>Friday</v>
      </c>
      <c r="C53" s="1" t="s">
        <v>287</v>
      </c>
      <c r="D53" s="1" t="s">
        <v>288</v>
      </c>
      <c r="E53" s="26" t="s">
        <v>240</v>
      </c>
      <c r="F53" s="1" t="s">
        <v>160</v>
      </c>
      <c r="G53" s="8" t="str">
        <f>A34</f>
        <v>A10-H01</v>
      </c>
    </row>
    <row r="54" spans="1:7" x14ac:dyDescent="0.25">
      <c r="A54" s="9">
        <f t="shared" si="4"/>
        <v>8012</v>
      </c>
      <c r="B54" s="1" t="str">
        <f t="shared" ca="1" si="3"/>
        <v>Thursday</v>
      </c>
      <c r="C54" s="1" t="s">
        <v>293</v>
      </c>
      <c r="D54" s="1" t="s">
        <v>294</v>
      </c>
      <c r="E54" s="26" t="s">
        <v>233</v>
      </c>
      <c r="F54" s="1" t="s">
        <v>235</v>
      </c>
      <c r="G54" s="8" t="str">
        <f>A37</f>
        <v>A10-H04</v>
      </c>
    </row>
    <row r="55" spans="1:7" x14ac:dyDescent="0.25">
      <c r="A55" s="9">
        <f t="shared" si="4"/>
        <v>8013</v>
      </c>
      <c r="B55" s="1" t="str">
        <f t="shared" ca="1" si="3"/>
        <v>Tuesdsy</v>
      </c>
      <c r="C55" s="1" t="s">
        <v>285</v>
      </c>
      <c r="D55" s="1" t="s">
        <v>286</v>
      </c>
      <c r="E55" s="26" t="s">
        <v>234</v>
      </c>
      <c r="F55" s="1" t="s">
        <v>236</v>
      </c>
      <c r="G55" s="8" t="str">
        <f>A38</f>
        <v>A10-H05</v>
      </c>
    </row>
  </sheetData>
  <sheetProtection algorithmName="SHA-512" hashValue="k5oUbe6Kq36EiuwCL/i8jM23k8vQY9sN5tnAM4DemuK/NoMUl14iOkbu+YVa8/ySFkvGp9ZUGDCkKPk7e+LePA==" saltValue="54yc2e6+cfE3/ClfFg3NMQ==" spinCount="100000" sheet="1" objects="1" scenarios="1" formatCells="0"/>
  <mergeCells count="4">
    <mergeCell ref="A1:J1"/>
    <mergeCell ref="A28:D28"/>
    <mergeCell ref="F28:G28"/>
    <mergeCell ref="A12:H1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CD993-8683-498B-97E8-D7ECF0D56F25}">
  <dimension ref="A1:L38"/>
  <sheetViews>
    <sheetView zoomScale="77" workbookViewId="0">
      <selection activeCell="N1" sqref="N1"/>
    </sheetView>
  </sheetViews>
  <sheetFormatPr defaultRowHeight="15" x14ac:dyDescent="0.25"/>
  <cols>
    <col min="1" max="1" width="17.5703125" customWidth="1"/>
    <col min="2" max="2" width="23.85546875" customWidth="1"/>
    <col min="3" max="3" width="17.7109375" customWidth="1"/>
    <col min="4" max="4" width="14.7109375" customWidth="1"/>
    <col min="5" max="5" width="22" customWidth="1"/>
    <col min="6" max="6" width="15.42578125" customWidth="1"/>
    <col min="7" max="7" width="17.85546875" customWidth="1"/>
    <col min="8" max="8" width="15.42578125" customWidth="1"/>
    <col min="9" max="9" width="15.28515625" customWidth="1"/>
    <col min="10" max="10" width="13" customWidth="1"/>
    <col min="11" max="11" width="15.28515625" customWidth="1"/>
    <col min="12" max="12" width="12.140625" customWidth="1"/>
  </cols>
  <sheetData>
    <row r="1" spans="1:6" x14ac:dyDescent="0.25">
      <c r="A1" s="2" t="s">
        <v>46</v>
      </c>
      <c r="B1" s="6"/>
      <c r="C1" s="6"/>
      <c r="D1" s="6"/>
      <c r="E1" s="6"/>
      <c r="F1" s="3"/>
    </row>
    <row r="2" spans="1:6" x14ac:dyDescent="0.25">
      <c r="A2" s="8" t="s">
        <v>10</v>
      </c>
      <c r="B2" s="1" t="s">
        <v>17</v>
      </c>
      <c r="C2" s="1" t="s">
        <v>47</v>
      </c>
      <c r="D2" s="9" t="s">
        <v>48</v>
      </c>
      <c r="E2" s="1" t="s">
        <v>49</v>
      </c>
      <c r="F2" s="1" t="s">
        <v>50</v>
      </c>
    </row>
    <row r="3" spans="1:6" x14ac:dyDescent="0.25">
      <c r="A3" s="8">
        <v>40939170</v>
      </c>
      <c r="B3" s="1" t="s">
        <v>143</v>
      </c>
      <c r="C3" s="13">
        <f ca="1">RANDBETWEEN(DATE(2026,1,19),DATE(2026,2,28))</f>
        <v>46072</v>
      </c>
      <c r="D3" s="9">
        <v>10</v>
      </c>
      <c r="E3" s="1" t="str">
        <f ca="1">CHOOSE(RANDBETWEEN(1,9), "49","53","68","71","75","79","82","80","89")</f>
        <v>53</v>
      </c>
      <c r="F3" s="1" t="s">
        <v>302</v>
      </c>
    </row>
    <row r="4" spans="1:6" x14ac:dyDescent="0.25">
      <c r="A4" s="8">
        <v>43056717</v>
      </c>
      <c r="B4" s="1" t="s">
        <v>202</v>
      </c>
      <c r="C4" s="13">
        <f t="shared" ref="C4:C18" ca="1" si="0">RANDBETWEEN(DATE(2026,1,19),DATE(2026,2,28))</f>
        <v>46080</v>
      </c>
      <c r="D4" s="9">
        <f>SUM(D3+1)</f>
        <v>11</v>
      </c>
      <c r="E4" s="1" t="str">
        <f t="shared" ref="E4:E18" ca="1" si="1">CHOOSE(RANDBETWEEN(1,9), "49","53","68","71","75","79","82","80","89")</f>
        <v>80</v>
      </c>
      <c r="F4" s="1" t="s">
        <v>302</v>
      </c>
    </row>
    <row r="5" spans="1:6" x14ac:dyDescent="0.25">
      <c r="A5" s="8">
        <v>44839197</v>
      </c>
      <c r="B5" s="1" t="s">
        <v>203</v>
      </c>
      <c r="C5" s="13">
        <f t="shared" ca="1" si="0"/>
        <v>46079</v>
      </c>
      <c r="D5" s="9">
        <f t="shared" ref="D5:D18" si="2">SUM(D4+1)</f>
        <v>12</v>
      </c>
      <c r="E5" s="1" t="str">
        <f t="shared" ca="1" si="1"/>
        <v>79</v>
      </c>
      <c r="F5" s="1" t="s">
        <v>300</v>
      </c>
    </row>
    <row r="6" spans="1:6" x14ac:dyDescent="0.25">
      <c r="A6" s="8">
        <v>45154597</v>
      </c>
      <c r="B6" s="1" t="s">
        <v>200</v>
      </c>
      <c r="C6" s="13">
        <f t="shared" ca="1" si="0"/>
        <v>46063</v>
      </c>
      <c r="D6" s="9">
        <f t="shared" si="2"/>
        <v>13</v>
      </c>
      <c r="E6" s="1" t="str">
        <f t="shared" ca="1" si="1"/>
        <v>71</v>
      </c>
      <c r="F6" s="1" t="s">
        <v>302</v>
      </c>
    </row>
    <row r="7" spans="1:6" x14ac:dyDescent="0.25">
      <c r="A7" s="8">
        <v>45229090</v>
      </c>
      <c r="B7" s="1" t="s">
        <v>205</v>
      </c>
      <c r="C7" s="13">
        <f t="shared" ca="1" si="0"/>
        <v>46078</v>
      </c>
      <c r="D7" s="9">
        <f t="shared" si="2"/>
        <v>14</v>
      </c>
      <c r="E7" s="1" t="str">
        <f t="shared" ca="1" si="1"/>
        <v>79</v>
      </c>
      <c r="F7" s="1" t="s">
        <v>302</v>
      </c>
    </row>
    <row r="8" spans="1:6" x14ac:dyDescent="0.25">
      <c r="A8" s="15">
        <v>52442179</v>
      </c>
      <c r="B8" s="30" t="s">
        <v>204</v>
      </c>
      <c r="C8" s="13">
        <f t="shared" ca="1" si="0"/>
        <v>46053</v>
      </c>
      <c r="D8" s="9">
        <f t="shared" si="2"/>
        <v>15</v>
      </c>
      <c r="E8" s="1" t="str">
        <f t="shared" ca="1" si="1"/>
        <v>53</v>
      </c>
      <c r="F8" s="1" t="s">
        <v>302</v>
      </c>
    </row>
    <row r="9" spans="1:6" x14ac:dyDescent="0.25">
      <c r="A9" s="8">
        <v>46499458</v>
      </c>
      <c r="B9" s="1" t="s">
        <v>201</v>
      </c>
      <c r="C9" s="13">
        <f t="shared" ca="1" si="0"/>
        <v>46046</v>
      </c>
      <c r="D9" s="9">
        <f t="shared" si="2"/>
        <v>16</v>
      </c>
      <c r="E9" s="1" t="str">
        <f t="shared" ca="1" si="1"/>
        <v>80</v>
      </c>
      <c r="F9" s="1" t="s">
        <v>302</v>
      </c>
    </row>
    <row r="10" spans="1:6" x14ac:dyDescent="0.25">
      <c r="A10" s="8">
        <v>43771920</v>
      </c>
      <c r="B10" s="1" t="s">
        <v>200</v>
      </c>
      <c r="C10" s="13">
        <f t="shared" ca="1" si="0"/>
        <v>46065</v>
      </c>
      <c r="D10" s="9">
        <f t="shared" si="2"/>
        <v>17</v>
      </c>
      <c r="E10" s="1" t="str">
        <f t="shared" ca="1" si="1"/>
        <v>79</v>
      </c>
      <c r="F10" s="1" t="s">
        <v>300</v>
      </c>
    </row>
    <row r="11" spans="1:6" x14ac:dyDescent="0.25">
      <c r="A11" s="8">
        <v>38221045</v>
      </c>
      <c r="B11" s="1" t="s">
        <v>142</v>
      </c>
      <c r="C11" s="13">
        <f t="shared" ca="1" si="0"/>
        <v>46049</v>
      </c>
      <c r="D11" s="9">
        <f t="shared" si="2"/>
        <v>18</v>
      </c>
      <c r="E11" s="1" t="str">
        <f t="shared" ca="1" si="1"/>
        <v>75</v>
      </c>
      <c r="F11" s="1" t="s">
        <v>302</v>
      </c>
    </row>
    <row r="12" spans="1:6" x14ac:dyDescent="0.25">
      <c r="A12" s="8">
        <v>39112001</v>
      </c>
      <c r="B12" s="1" t="s">
        <v>143</v>
      </c>
      <c r="C12" s="13">
        <f t="shared" ca="1" si="0"/>
        <v>46059</v>
      </c>
      <c r="D12" s="9">
        <f t="shared" si="2"/>
        <v>19</v>
      </c>
      <c r="E12" s="1" t="str">
        <f t="shared" ca="1" si="1"/>
        <v>49</v>
      </c>
      <c r="F12" s="1" t="s">
        <v>302</v>
      </c>
    </row>
    <row r="13" spans="1:6" x14ac:dyDescent="0.25">
      <c r="A13" s="8">
        <v>41123756</v>
      </c>
      <c r="B13" s="1" t="s">
        <v>144</v>
      </c>
      <c r="C13" s="13">
        <f ca="1">RANDBETWEEN(DATE(2026,1,19),DATE(2026,2,28))</f>
        <v>46061</v>
      </c>
      <c r="D13" s="9">
        <f t="shared" si="2"/>
        <v>20</v>
      </c>
      <c r="E13" s="1" t="str">
        <f t="shared" ca="1" si="1"/>
        <v>71</v>
      </c>
      <c r="F13" s="1" t="s">
        <v>301</v>
      </c>
    </row>
    <row r="14" spans="1:6" x14ac:dyDescent="0.25">
      <c r="A14" s="8">
        <v>48425677</v>
      </c>
      <c r="B14" s="1" t="s">
        <v>205</v>
      </c>
      <c r="C14" s="13">
        <f t="shared" ca="1" si="0"/>
        <v>46079</v>
      </c>
      <c r="D14" s="9">
        <f t="shared" si="2"/>
        <v>21</v>
      </c>
      <c r="E14" s="1" t="str">
        <f t="shared" ca="1" si="1"/>
        <v>89</v>
      </c>
      <c r="F14" s="1" t="s">
        <v>300</v>
      </c>
    </row>
    <row r="15" spans="1:6" x14ac:dyDescent="0.25">
      <c r="A15" s="8">
        <v>37425974</v>
      </c>
      <c r="B15" s="1" t="s">
        <v>142</v>
      </c>
      <c r="C15" s="13">
        <f ca="1">RANDBETWEEN(DATE(2026,1,19),DATE(2026,2,28))</f>
        <v>46079</v>
      </c>
      <c r="D15" s="9">
        <f t="shared" si="2"/>
        <v>22</v>
      </c>
      <c r="E15" s="1" t="str">
        <f t="shared" ca="1" si="1"/>
        <v>82</v>
      </c>
      <c r="F15" s="1" t="s">
        <v>302</v>
      </c>
    </row>
    <row r="16" spans="1:6" x14ac:dyDescent="0.25">
      <c r="A16" s="8">
        <v>44869874</v>
      </c>
      <c r="B16" s="1" t="s">
        <v>144</v>
      </c>
      <c r="C16" s="13">
        <f t="shared" ca="1" si="0"/>
        <v>46041</v>
      </c>
      <c r="D16" s="9">
        <f t="shared" si="2"/>
        <v>23</v>
      </c>
      <c r="E16" s="1" t="str">
        <f t="shared" ca="1" si="1"/>
        <v>89</v>
      </c>
      <c r="F16" s="1" t="s">
        <v>300</v>
      </c>
    </row>
    <row r="17" spans="1:12" x14ac:dyDescent="0.25">
      <c r="A17" s="8">
        <v>39456919</v>
      </c>
      <c r="B17" s="1" t="s">
        <v>203</v>
      </c>
      <c r="C17" s="13">
        <f t="shared" ca="1" si="0"/>
        <v>46067</v>
      </c>
      <c r="D17" s="9">
        <f t="shared" si="2"/>
        <v>24</v>
      </c>
      <c r="E17" s="1" t="str">
        <f t="shared" ca="1" si="1"/>
        <v>53</v>
      </c>
      <c r="F17" s="1" t="s">
        <v>302</v>
      </c>
    </row>
    <row r="18" spans="1:12" x14ac:dyDescent="0.25">
      <c r="A18" s="8">
        <v>40045601</v>
      </c>
      <c r="B18" s="1" t="s">
        <v>142</v>
      </c>
      <c r="C18" s="13">
        <f t="shared" ca="1" si="0"/>
        <v>46079</v>
      </c>
      <c r="D18" s="9">
        <f t="shared" si="2"/>
        <v>25</v>
      </c>
      <c r="E18" s="1" t="str">
        <f t="shared" ca="1" si="1"/>
        <v>49</v>
      </c>
      <c r="F18" s="1" t="s">
        <v>301</v>
      </c>
    </row>
    <row r="21" spans="1:12" x14ac:dyDescent="0.25">
      <c r="A21" s="32" t="s">
        <v>62</v>
      </c>
      <c r="B21" s="33"/>
      <c r="C21" s="33"/>
      <c r="D21" s="33"/>
      <c r="E21" s="34"/>
      <c r="G21" s="32" t="s">
        <v>51</v>
      </c>
      <c r="H21" s="33"/>
      <c r="I21" s="33"/>
      <c r="J21" s="33"/>
      <c r="K21" s="33"/>
      <c r="L21" s="34"/>
    </row>
    <row r="22" spans="1:12" x14ac:dyDescent="0.25">
      <c r="A22" s="9" t="s">
        <v>63</v>
      </c>
      <c r="B22" s="8" t="s">
        <v>10</v>
      </c>
      <c r="C22" s="1" t="s">
        <v>64</v>
      </c>
      <c r="D22" s="1" t="s">
        <v>65</v>
      </c>
      <c r="E22" s="1" t="s">
        <v>295</v>
      </c>
      <c r="G22" s="8" t="s">
        <v>10</v>
      </c>
      <c r="H22" s="8" t="s">
        <v>26</v>
      </c>
      <c r="I22" s="1" t="s">
        <v>52</v>
      </c>
      <c r="J22" s="1" t="s">
        <v>53</v>
      </c>
      <c r="K22" s="1" t="s">
        <v>50</v>
      </c>
      <c r="L22" s="1" t="s">
        <v>54</v>
      </c>
    </row>
    <row r="23" spans="1:12" x14ac:dyDescent="0.25">
      <c r="A23" s="9" t="s">
        <v>248</v>
      </c>
      <c r="B23" s="8">
        <v>40939170</v>
      </c>
      <c r="C23" s="1" t="s">
        <v>297</v>
      </c>
      <c r="D23" s="13">
        <v>46092</v>
      </c>
      <c r="E23" s="1" t="s">
        <v>298</v>
      </c>
      <c r="G23" s="8">
        <v>40939170</v>
      </c>
      <c r="H23" s="26" t="s">
        <v>230</v>
      </c>
      <c r="I23" s="13">
        <v>46055</v>
      </c>
      <c r="J23" s="1">
        <v>1</v>
      </c>
      <c r="K23" s="1" t="s">
        <v>305</v>
      </c>
      <c r="L23" s="1" t="s">
        <v>307</v>
      </c>
    </row>
    <row r="24" spans="1:12" x14ac:dyDescent="0.25">
      <c r="A24" s="9" t="s">
        <v>249</v>
      </c>
      <c r="B24" s="8">
        <v>43056717</v>
      </c>
      <c r="C24" s="1" t="s">
        <v>297</v>
      </c>
      <c r="D24" s="13">
        <v>46088</v>
      </c>
      <c r="E24" s="1" t="s">
        <v>298</v>
      </c>
      <c r="G24" s="8">
        <v>43056717</v>
      </c>
      <c r="H24" s="26" t="s">
        <v>226</v>
      </c>
      <c r="I24" s="13">
        <v>46065</v>
      </c>
      <c r="J24" s="1">
        <v>2</v>
      </c>
      <c r="K24" s="1" t="s">
        <v>306</v>
      </c>
      <c r="L24" s="1" t="s">
        <v>307</v>
      </c>
    </row>
    <row r="25" spans="1:12" x14ac:dyDescent="0.25">
      <c r="A25" s="9" t="s">
        <v>250</v>
      </c>
      <c r="B25" s="8">
        <v>44839197</v>
      </c>
      <c r="C25" s="1" t="s">
        <v>296</v>
      </c>
      <c r="D25" s="13">
        <v>46093</v>
      </c>
      <c r="E25" s="1" t="s">
        <v>299</v>
      </c>
      <c r="G25" s="8">
        <v>45154597</v>
      </c>
      <c r="H25" s="26" t="s">
        <v>233</v>
      </c>
      <c r="I25" s="13">
        <v>46063</v>
      </c>
      <c r="J25" s="1">
        <v>1</v>
      </c>
      <c r="K25" s="1" t="s">
        <v>306</v>
      </c>
      <c r="L25" s="1" t="s">
        <v>307</v>
      </c>
    </row>
    <row r="26" spans="1:12" x14ac:dyDescent="0.25">
      <c r="A26" s="9" t="s">
        <v>251</v>
      </c>
      <c r="B26" s="8">
        <v>45154597</v>
      </c>
      <c r="C26" s="1" t="s">
        <v>297</v>
      </c>
      <c r="D26" s="13">
        <v>46082</v>
      </c>
      <c r="E26" s="1" t="s">
        <v>298</v>
      </c>
      <c r="G26" s="8">
        <v>45229090</v>
      </c>
      <c r="H26" s="26" t="s">
        <v>230</v>
      </c>
      <c r="I26" s="13">
        <v>46068</v>
      </c>
      <c r="J26" s="1">
        <v>2</v>
      </c>
      <c r="K26" s="1" t="s">
        <v>305</v>
      </c>
      <c r="L26" s="1" t="s">
        <v>307</v>
      </c>
    </row>
    <row r="27" spans="1:12" x14ac:dyDescent="0.25">
      <c r="A27" s="9" t="s">
        <v>252</v>
      </c>
      <c r="B27" s="8">
        <v>45229090</v>
      </c>
      <c r="C27" s="1" t="s">
        <v>297</v>
      </c>
      <c r="D27" s="13">
        <v>46106</v>
      </c>
      <c r="E27" s="1" t="s">
        <v>298</v>
      </c>
      <c r="G27" s="8">
        <v>52442179</v>
      </c>
      <c r="H27" s="26" t="s">
        <v>227</v>
      </c>
      <c r="I27" s="13">
        <v>46058</v>
      </c>
      <c r="J27" s="1">
        <v>1</v>
      </c>
      <c r="K27" s="1" t="s">
        <v>304</v>
      </c>
      <c r="L27" s="1" t="s">
        <v>307</v>
      </c>
    </row>
    <row r="28" spans="1:12" x14ac:dyDescent="0.25">
      <c r="A28" s="9" t="s">
        <v>253</v>
      </c>
      <c r="B28" s="8">
        <v>52442179</v>
      </c>
      <c r="C28" s="1" t="s">
        <v>297</v>
      </c>
      <c r="D28" s="13">
        <v>46102</v>
      </c>
      <c r="E28" s="1" t="s">
        <v>298</v>
      </c>
      <c r="G28" s="8">
        <v>46499458</v>
      </c>
      <c r="H28" s="26" t="s">
        <v>234</v>
      </c>
      <c r="I28" s="13">
        <v>46063</v>
      </c>
      <c r="J28" s="1">
        <v>1</v>
      </c>
      <c r="K28" s="1" t="s">
        <v>304</v>
      </c>
      <c r="L28" s="1" t="s">
        <v>307</v>
      </c>
    </row>
    <row r="29" spans="1:12" x14ac:dyDescent="0.25">
      <c r="A29" s="9" t="s">
        <v>254</v>
      </c>
      <c r="B29" s="8">
        <v>46499458</v>
      </c>
      <c r="C29" s="1" t="s">
        <v>297</v>
      </c>
      <c r="D29" s="13">
        <v>46110</v>
      </c>
      <c r="E29" s="1" t="s">
        <v>298</v>
      </c>
      <c r="G29" s="8">
        <v>38221045</v>
      </c>
      <c r="H29" s="26" t="s">
        <v>231</v>
      </c>
      <c r="I29" s="13">
        <v>46065</v>
      </c>
      <c r="J29" s="1">
        <v>1</v>
      </c>
      <c r="K29" s="1" t="s">
        <v>304</v>
      </c>
      <c r="L29" s="1" t="s">
        <v>194</v>
      </c>
    </row>
    <row r="30" spans="1:12" x14ac:dyDescent="0.25">
      <c r="A30" s="9" t="s">
        <v>255</v>
      </c>
      <c r="B30" s="8">
        <v>43771920</v>
      </c>
      <c r="C30" s="1" t="s">
        <v>296</v>
      </c>
      <c r="D30" s="13">
        <v>46106</v>
      </c>
      <c r="E30" s="1" t="s">
        <v>299</v>
      </c>
      <c r="G30" s="8">
        <v>39112001</v>
      </c>
      <c r="H30" s="26" t="s">
        <v>230</v>
      </c>
      <c r="I30" s="13">
        <v>46063</v>
      </c>
      <c r="J30" s="1">
        <v>2</v>
      </c>
      <c r="K30" s="1" t="s">
        <v>306</v>
      </c>
      <c r="L30" s="1" t="s">
        <v>194</v>
      </c>
    </row>
    <row r="31" spans="1:12" x14ac:dyDescent="0.25">
      <c r="A31" s="9" t="s">
        <v>256</v>
      </c>
      <c r="B31" s="8">
        <v>38221045</v>
      </c>
      <c r="C31" s="1" t="s">
        <v>297</v>
      </c>
      <c r="D31" s="13">
        <v>46085</v>
      </c>
      <c r="E31" s="1" t="s">
        <v>298</v>
      </c>
      <c r="G31" s="15">
        <v>37425974</v>
      </c>
      <c r="H31" s="26" t="s">
        <v>231</v>
      </c>
      <c r="I31" s="13">
        <v>46059</v>
      </c>
      <c r="J31" s="1">
        <v>1</v>
      </c>
      <c r="K31" s="1" t="s">
        <v>305</v>
      </c>
      <c r="L31" s="1" t="s">
        <v>307</v>
      </c>
    </row>
    <row r="32" spans="1:12" x14ac:dyDescent="0.25">
      <c r="A32" s="9" t="s">
        <v>257</v>
      </c>
      <c r="B32" s="8">
        <v>39112001</v>
      </c>
      <c r="C32" s="1" t="s">
        <v>297</v>
      </c>
      <c r="D32" s="13">
        <v>46102</v>
      </c>
      <c r="E32" s="1" t="s">
        <v>298</v>
      </c>
      <c r="G32" s="8">
        <v>39456919</v>
      </c>
      <c r="H32" s="26" t="s">
        <v>232</v>
      </c>
      <c r="I32" s="13">
        <v>46062</v>
      </c>
      <c r="J32" s="1">
        <v>1</v>
      </c>
      <c r="K32" s="1" t="s">
        <v>304</v>
      </c>
      <c r="L32" s="1" t="s">
        <v>194</v>
      </c>
    </row>
    <row r="33" spans="1:5" x14ac:dyDescent="0.25">
      <c r="A33" s="9" t="s">
        <v>258</v>
      </c>
      <c r="B33" s="8">
        <v>41123756</v>
      </c>
      <c r="C33" s="1" t="s">
        <v>296</v>
      </c>
      <c r="D33" s="13">
        <v>46085</v>
      </c>
      <c r="E33" s="1" t="s">
        <v>299</v>
      </c>
    </row>
    <row r="34" spans="1:5" x14ac:dyDescent="0.25">
      <c r="A34" s="9" t="s">
        <v>259</v>
      </c>
      <c r="B34" s="8">
        <v>48425677</v>
      </c>
      <c r="C34" s="1" t="s">
        <v>296</v>
      </c>
      <c r="D34" s="13">
        <v>46082</v>
      </c>
      <c r="E34" s="1" t="s">
        <v>299</v>
      </c>
    </row>
    <row r="35" spans="1:5" x14ac:dyDescent="0.25">
      <c r="A35" s="9" t="s">
        <v>260</v>
      </c>
      <c r="B35" s="8">
        <v>37425974</v>
      </c>
      <c r="C35" s="1" t="s">
        <v>297</v>
      </c>
      <c r="D35" s="13">
        <v>46101</v>
      </c>
      <c r="E35" s="1" t="s">
        <v>298</v>
      </c>
    </row>
    <row r="36" spans="1:5" x14ac:dyDescent="0.25">
      <c r="A36" s="9" t="s">
        <v>261</v>
      </c>
      <c r="B36" s="8">
        <v>44869874</v>
      </c>
      <c r="C36" s="1" t="s">
        <v>296</v>
      </c>
      <c r="D36" s="13">
        <v>46109</v>
      </c>
      <c r="E36" s="1" t="s">
        <v>299</v>
      </c>
    </row>
    <row r="37" spans="1:5" x14ac:dyDescent="0.25">
      <c r="A37" s="9" t="s">
        <v>262</v>
      </c>
      <c r="B37" s="8">
        <v>39456919</v>
      </c>
      <c r="C37" s="1" t="s">
        <v>297</v>
      </c>
      <c r="D37" s="13">
        <v>46087</v>
      </c>
      <c r="E37" s="1" t="s">
        <v>298</v>
      </c>
    </row>
    <row r="38" spans="1:5" x14ac:dyDescent="0.25">
      <c r="A38" s="9" t="s">
        <v>263</v>
      </c>
      <c r="B38" s="8">
        <v>40045601</v>
      </c>
      <c r="C38" s="1" t="s">
        <v>296</v>
      </c>
      <c r="D38" s="13">
        <v>46108</v>
      </c>
      <c r="E38" s="1" t="s">
        <v>299</v>
      </c>
    </row>
  </sheetData>
  <sheetProtection algorithmName="SHA-512" hashValue="OEQypdgPrsrenjOPzuCtzxWZeRg2FttlUmcRZ4D9PLEPNO2MbCcaIU7oUafrY2x9gIdOB1rV7Q6KI2OMtxmndg==" saltValue="8Pvn3Snvm8yIhEHz5DpTcw==" spinCount="100000" sheet="1" objects="1" scenarios="1"/>
  <mergeCells count="2">
    <mergeCell ref="G21:L21"/>
    <mergeCell ref="A21:E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5BF7-1179-4AF2-8B76-492E90F0127C}">
  <dimension ref="A1:F18"/>
  <sheetViews>
    <sheetView tabSelected="1" zoomScale="72" workbookViewId="0">
      <selection activeCell="E16" sqref="E16"/>
    </sheetView>
  </sheetViews>
  <sheetFormatPr defaultRowHeight="15" x14ac:dyDescent="0.25"/>
  <cols>
    <col min="3" max="3" width="22.5703125" customWidth="1"/>
    <col min="4" max="4" width="20.7109375" customWidth="1"/>
    <col min="5" max="5" width="21.140625" customWidth="1"/>
  </cols>
  <sheetData>
    <row r="1" spans="1:6" x14ac:dyDescent="0.25">
      <c r="A1" s="32" t="s">
        <v>57</v>
      </c>
      <c r="B1" s="33"/>
      <c r="C1" s="33"/>
      <c r="D1" s="33"/>
      <c r="E1" s="33"/>
      <c r="F1" s="34"/>
    </row>
    <row r="2" spans="1:6" x14ac:dyDescent="0.25">
      <c r="A2" s="9" t="s">
        <v>58</v>
      </c>
      <c r="B2" s="8" t="s">
        <v>10</v>
      </c>
      <c r="C2" s="1" t="s">
        <v>59</v>
      </c>
      <c r="D2" s="1" t="s">
        <v>60</v>
      </c>
      <c r="E2" s="1" t="s">
        <v>61</v>
      </c>
      <c r="F2" s="1" t="s">
        <v>31</v>
      </c>
    </row>
    <row r="3" spans="1:6" x14ac:dyDescent="0.25">
      <c r="A3" s="9">
        <v>9001</v>
      </c>
      <c r="B3" s="8">
        <v>40939170</v>
      </c>
      <c r="C3" s="28">
        <f ca="1">RANDBETWEEN(5000,15000)</f>
        <v>6610</v>
      </c>
      <c r="D3" s="13">
        <f ca="1">RANDBETWEEN(DATE(2025,1,1),DATE(2026,3,30))</f>
        <v>45973</v>
      </c>
      <c r="E3" s="1" t="str">
        <f ca="1">CHOOSE(RANDBETWEEN(1,3),"NSFAS PAID","CASH PAID","BURSARY PAID")</f>
        <v>CASH PAID</v>
      </c>
      <c r="F3" s="1">
        <f ca="1">RANDBETWEEN(1,2)</f>
        <v>2</v>
      </c>
    </row>
    <row r="4" spans="1:6" x14ac:dyDescent="0.25">
      <c r="A4" s="9">
        <f>SUM(A3+1)</f>
        <v>9002</v>
      </c>
      <c r="B4" s="8">
        <v>43056717</v>
      </c>
      <c r="C4" s="28">
        <f t="shared" ref="C4:C18" ca="1" si="0">RANDBETWEEN(5000,15000)</f>
        <v>14673</v>
      </c>
      <c r="D4" s="13">
        <f ca="1">RANDBETWEEN(DATE(2025,1,1),DATE(2026,3,30))</f>
        <v>46082</v>
      </c>
      <c r="E4" s="1" t="str">
        <f t="shared" ref="E4:E18" ca="1" si="1">CHOOSE(RANDBETWEEN(1,3),"NSFAS PAID","CASH PAID","BURSARY PAID")</f>
        <v>NSFAS PAID</v>
      </c>
      <c r="F4" s="1">
        <f t="shared" ref="F4:F18" ca="1" si="2">RANDBETWEEN(1,2)</f>
        <v>1</v>
      </c>
    </row>
    <row r="5" spans="1:6" x14ac:dyDescent="0.25">
      <c r="A5" s="9">
        <f t="shared" ref="A5:A18" si="3">SUM(A4+1)</f>
        <v>9003</v>
      </c>
      <c r="B5" s="8">
        <v>44839197</v>
      </c>
      <c r="C5" s="28">
        <f t="shared" ca="1" si="0"/>
        <v>13558</v>
      </c>
      <c r="D5" s="13">
        <f t="shared" ref="D5:D18" ca="1" si="4">RANDBETWEEN(DATE(2025,1,1),DATE(2026,3,30))</f>
        <v>45943</v>
      </c>
      <c r="E5" s="1" t="str">
        <f t="shared" ca="1" si="1"/>
        <v>BURSARY PAID</v>
      </c>
      <c r="F5" s="1">
        <f t="shared" ca="1" si="2"/>
        <v>1</v>
      </c>
    </row>
    <row r="6" spans="1:6" x14ac:dyDescent="0.25">
      <c r="A6" s="9">
        <f t="shared" si="3"/>
        <v>9004</v>
      </c>
      <c r="B6" s="8">
        <v>45154597</v>
      </c>
      <c r="C6" s="28">
        <f t="shared" ca="1" si="0"/>
        <v>10093</v>
      </c>
      <c r="D6" s="13">
        <f t="shared" ca="1" si="4"/>
        <v>45822</v>
      </c>
      <c r="E6" s="1" t="str">
        <f t="shared" ca="1" si="1"/>
        <v>CASH PAID</v>
      </c>
      <c r="F6" s="1">
        <f t="shared" ca="1" si="2"/>
        <v>1</v>
      </c>
    </row>
    <row r="7" spans="1:6" x14ac:dyDescent="0.25">
      <c r="A7" s="9">
        <f t="shared" si="3"/>
        <v>9005</v>
      </c>
      <c r="B7" s="8">
        <v>45229090</v>
      </c>
      <c r="C7" s="28">
        <f t="shared" ca="1" si="0"/>
        <v>5964</v>
      </c>
      <c r="D7" s="13">
        <f t="shared" ca="1" si="4"/>
        <v>46065</v>
      </c>
      <c r="E7" s="1" t="str">
        <f t="shared" ca="1" si="1"/>
        <v>CASH PAID</v>
      </c>
      <c r="F7" s="1">
        <f t="shared" ca="1" si="2"/>
        <v>2</v>
      </c>
    </row>
    <row r="8" spans="1:6" x14ac:dyDescent="0.25">
      <c r="A8" s="9">
        <f t="shared" si="3"/>
        <v>9006</v>
      </c>
      <c r="B8" s="8">
        <v>52442179</v>
      </c>
      <c r="C8" s="28">
        <f t="shared" ca="1" si="0"/>
        <v>9879</v>
      </c>
      <c r="D8" s="13">
        <f t="shared" ca="1" si="4"/>
        <v>46034</v>
      </c>
      <c r="E8" s="1" t="str">
        <f t="shared" ca="1" si="1"/>
        <v>CASH PAID</v>
      </c>
      <c r="F8" s="1">
        <f t="shared" ca="1" si="2"/>
        <v>1</v>
      </c>
    </row>
    <row r="9" spans="1:6" x14ac:dyDescent="0.25">
      <c r="A9" s="9">
        <f t="shared" si="3"/>
        <v>9007</v>
      </c>
      <c r="B9" s="8">
        <v>46499458</v>
      </c>
      <c r="C9" s="28">
        <f t="shared" ca="1" si="0"/>
        <v>12638</v>
      </c>
      <c r="D9" s="13">
        <f t="shared" ca="1" si="4"/>
        <v>45910</v>
      </c>
      <c r="E9" s="1" t="str">
        <f t="shared" ca="1" si="1"/>
        <v>NSFAS PAID</v>
      </c>
      <c r="F9" s="1">
        <f t="shared" ca="1" si="2"/>
        <v>1</v>
      </c>
    </row>
    <row r="10" spans="1:6" x14ac:dyDescent="0.25">
      <c r="A10" s="9">
        <f t="shared" si="3"/>
        <v>9008</v>
      </c>
      <c r="B10" s="8">
        <v>43771920</v>
      </c>
      <c r="C10" s="28">
        <f t="shared" ca="1" si="0"/>
        <v>6194</v>
      </c>
      <c r="D10" s="13">
        <f t="shared" ca="1" si="4"/>
        <v>45757</v>
      </c>
      <c r="E10" s="1" t="str">
        <f t="shared" ca="1" si="1"/>
        <v>CASH PAID</v>
      </c>
      <c r="F10" s="1">
        <f t="shared" ca="1" si="2"/>
        <v>2</v>
      </c>
    </row>
    <row r="11" spans="1:6" x14ac:dyDescent="0.25">
      <c r="A11" s="9">
        <f t="shared" si="3"/>
        <v>9009</v>
      </c>
      <c r="B11" s="8">
        <v>38221045</v>
      </c>
      <c r="C11" s="28">
        <f t="shared" ca="1" si="0"/>
        <v>8140</v>
      </c>
      <c r="D11" s="13">
        <f t="shared" ca="1" si="4"/>
        <v>46104</v>
      </c>
      <c r="E11" s="1" t="str">
        <f ca="1">CHOOSE(RANDBETWEEN(1,3),"NSFAS PAID","CASH PAID","BURSARY PAID")</f>
        <v>CASH PAID</v>
      </c>
      <c r="F11" s="1">
        <f t="shared" ca="1" si="2"/>
        <v>1</v>
      </c>
    </row>
    <row r="12" spans="1:6" x14ac:dyDescent="0.25">
      <c r="A12" s="9">
        <f t="shared" si="3"/>
        <v>9010</v>
      </c>
      <c r="B12" s="8">
        <v>39112001</v>
      </c>
      <c r="C12" s="28">
        <f t="shared" ca="1" si="0"/>
        <v>13077</v>
      </c>
      <c r="D12" s="13">
        <f t="shared" ca="1" si="4"/>
        <v>45658</v>
      </c>
      <c r="E12" s="1" t="str">
        <f ca="1">CHOOSE(RANDBETWEEN(1,3),"NSFAS PAID","CASH PAID","BURSARY PAID")</f>
        <v>CASH PAID</v>
      </c>
      <c r="F12" s="1">
        <f t="shared" ca="1" si="2"/>
        <v>2</v>
      </c>
    </row>
    <row r="13" spans="1:6" x14ac:dyDescent="0.25">
      <c r="A13" s="9">
        <f t="shared" si="3"/>
        <v>9011</v>
      </c>
      <c r="B13" s="8">
        <v>41123756</v>
      </c>
      <c r="C13" s="28">
        <f t="shared" ca="1" si="0"/>
        <v>6345</v>
      </c>
      <c r="D13" s="13">
        <f t="shared" ca="1" si="4"/>
        <v>45946</v>
      </c>
      <c r="E13" s="1" t="str">
        <f t="shared" ca="1" si="1"/>
        <v>NSFAS PAID</v>
      </c>
      <c r="F13" s="1">
        <f t="shared" ca="1" si="2"/>
        <v>1</v>
      </c>
    </row>
    <row r="14" spans="1:6" x14ac:dyDescent="0.25">
      <c r="A14" s="9">
        <f t="shared" si="3"/>
        <v>9012</v>
      </c>
      <c r="B14" s="8">
        <v>48425677</v>
      </c>
      <c r="C14" s="28">
        <f t="shared" ca="1" si="0"/>
        <v>13709</v>
      </c>
      <c r="D14" s="13">
        <f t="shared" ca="1" si="4"/>
        <v>45722</v>
      </c>
      <c r="E14" s="1" t="str">
        <f t="shared" ca="1" si="1"/>
        <v>NSFAS PAID</v>
      </c>
      <c r="F14" s="1">
        <f t="shared" ca="1" si="2"/>
        <v>2</v>
      </c>
    </row>
    <row r="15" spans="1:6" x14ac:dyDescent="0.25">
      <c r="A15" s="9">
        <f t="shared" si="3"/>
        <v>9013</v>
      </c>
      <c r="B15" s="8">
        <v>37425974</v>
      </c>
      <c r="C15" s="28">
        <f t="shared" ca="1" si="0"/>
        <v>7486</v>
      </c>
      <c r="D15" s="13">
        <f t="shared" ca="1" si="4"/>
        <v>45826</v>
      </c>
      <c r="E15" s="1" t="str">
        <f t="shared" ca="1" si="1"/>
        <v>BURSARY PAID</v>
      </c>
      <c r="F15" s="1">
        <f t="shared" ca="1" si="2"/>
        <v>2</v>
      </c>
    </row>
    <row r="16" spans="1:6" x14ac:dyDescent="0.25">
      <c r="A16" s="9">
        <f t="shared" si="3"/>
        <v>9014</v>
      </c>
      <c r="B16" s="8">
        <v>44869874</v>
      </c>
      <c r="C16" s="28">
        <f t="shared" ca="1" si="0"/>
        <v>12411</v>
      </c>
      <c r="D16" s="13">
        <f t="shared" ca="1" si="4"/>
        <v>45959</v>
      </c>
      <c r="E16" s="1" t="str">
        <f t="shared" ca="1" si="1"/>
        <v>NSFAS PAID</v>
      </c>
      <c r="F16" s="1">
        <f t="shared" ca="1" si="2"/>
        <v>2</v>
      </c>
    </row>
    <row r="17" spans="1:6" x14ac:dyDescent="0.25">
      <c r="A17" s="9">
        <f t="shared" si="3"/>
        <v>9015</v>
      </c>
      <c r="B17" s="8">
        <v>39456919</v>
      </c>
      <c r="C17" s="28">
        <f t="shared" ca="1" si="0"/>
        <v>12817</v>
      </c>
      <c r="D17" s="13">
        <f t="shared" ca="1" si="4"/>
        <v>45713</v>
      </c>
      <c r="E17" s="1" t="str">
        <f t="shared" ca="1" si="1"/>
        <v>NSFAS PAID</v>
      </c>
      <c r="F17" s="1">
        <f t="shared" ca="1" si="2"/>
        <v>1</v>
      </c>
    </row>
    <row r="18" spans="1:6" x14ac:dyDescent="0.25">
      <c r="A18" s="9">
        <f t="shared" si="3"/>
        <v>9016</v>
      </c>
      <c r="B18" s="8">
        <v>40045601</v>
      </c>
      <c r="C18" s="28">
        <f t="shared" ca="1" si="0"/>
        <v>9502</v>
      </c>
      <c r="D18" s="13">
        <f t="shared" ca="1" si="4"/>
        <v>46012</v>
      </c>
      <c r="E18" s="1" t="str">
        <f t="shared" ca="1" si="1"/>
        <v>CASH PAID</v>
      </c>
      <c r="F18" s="1">
        <f t="shared" ca="1" si="2"/>
        <v>1</v>
      </c>
    </row>
  </sheetData>
  <sheetProtection algorithmName="SHA-512" hashValue="jPSmuUVINZmALoOVw0CGOG9VjRRWZ0Xf9tuVjgzdnXC+czaL47/M+z4GcKBPDun0olho3hRf5as/dfRfyMTLOQ==" saltValue="ypfRTbwaMEDrUGhM9odOSQ==" spinCount="100000" sheet="1" objects="1" scenarios="1"/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340185D38C8045880DE658E79E72AA" ma:contentTypeVersion="6" ma:contentTypeDescription="Create a new document." ma:contentTypeScope="" ma:versionID="bef6a164515b4522c3d7df35cf10e85c">
  <xsd:schema xmlns:xsd="http://www.w3.org/2001/XMLSchema" xmlns:xs="http://www.w3.org/2001/XMLSchema" xmlns:p="http://schemas.microsoft.com/office/2006/metadata/properties" xmlns:ns3="442abb4d-4557-4745-b959-458eca0918bb" targetNamespace="http://schemas.microsoft.com/office/2006/metadata/properties" ma:root="true" ma:fieldsID="4d13933234989eb76c00977ff98fa959" ns3:_="">
    <xsd:import namespace="442abb4d-4557-4745-b959-458eca0918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abb4d-4557-4745-b959-458eca091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2abb4d-4557-4745-b959-458eca0918bb" xsi:nil="true"/>
  </documentManagement>
</p:properties>
</file>

<file path=customXml/itemProps1.xml><?xml version="1.0" encoding="utf-8"?>
<ds:datastoreItem xmlns:ds="http://schemas.openxmlformats.org/officeDocument/2006/customXml" ds:itemID="{F3103667-E8FF-4230-B8A1-BC84611A2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253A36-83D1-4849-8083-A815A9F5B021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42abb4d-4557-4745-b959-458eca0918b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BB6F6-1046-4065-884C-B3008CBF8A2E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42abb4d-4557-4745-b959-458eca0918bb"/>
  </ds:schemaRefs>
</ds:datastoreItem>
</file>

<file path=docMetadata/LabelInfo.xml><?xml version="1.0" encoding="utf-8"?>
<clbl:labelList xmlns:clbl="http://schemas.microsoft.com/office/2020/mipLabelMetadata">
  <clbl:label id="{b14d86f1-83ba-4b13-a702-b5c0231b9337}" enabled="0" method="" siteId="{b14d86f1-83ba-4b13-a702-b5c0231b93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Faculty</vt:lpstr>
      <vt:lpstr>Department</vt:lpstr>
      <vt:lpstr>Instructors</vt:lpstr>
      <vt:lpstr>Students</vt:lpstr>
      <vt:lpstr>Course</vt:lpstr>
      <vt:lpstr>Enrollment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Mbali Chauke</dc:creator>
  <cp:lastModifiedBy>Mbali Chauke</cp:lastModifiedBy>
  <dcterms:created xsi:type="dcterms:W3CDTF">2026-05-11T14:14:59Z</dcterms:created>
  <dcterms:modified xsi:type="dcterms:W3CDTF">2026-05-14T12:42:36Z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0x010100C9340185D38C8045880DE658E79E72AA</vt:lpwstr>
  </property>
</Properties>
</file>